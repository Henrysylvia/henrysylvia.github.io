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21bccb36f542ca98/Desktop/My Pratice folder/EXCEL/My Interactive Dashboards/"/>
    </mc:Choice>
  </mc:AlternateContent>
  <xr:revisionPtr revIDLastSave="150" documentId="8_{7FD66D0F-52C0-4957-BCD6-E75DE71ADDF7}" xr6:coauthVersionLast="47" xr6:coauthVersionMax="47" xr10:uidLastSave="{6250D592-9D17-44FB-8F52-D0473D8D1FDC}"/>
  <bookViews>
    <workbookView xWindow="-110" yWindow="-110" windowWidth="19420" windowHeight="10300" xr2:uid="{2FC842BA-23F4-4C6A-93D2-17C221E1302B}"/>
  </bookViews>
  <sheets>
    <sheet name="Dashboard" sheetId="8" r:id="rId1"/>
    <sheet name="Mental_Health_and_Social_Media_" sheetId="1" state="hidden" r:id="rId2"/>
    <sheet name="Sheet7" sheetId="9" state="hidden" r:id="rId3"/>
    <sheet name="Sheet1" sheetId="2" state="hidden" r:id="rId4"/>
    <sheet name="Sheet2" sheetId="3" state="hidden" r:id="rId5"/>
    <sheet name="Sheet3" sheetId="4" state="hidden" r:id="rId6"/>
    <sheet name="Sheet4" sheetId="5" state="hidden" r:id="rId7"/>
    <sheet name="Sheet5" sheetId="6" state="hidden" r:id="rId8"/>
    <sheet name="Sheet6" sheetId="7" state="hidden" r:id="rId9"/>
  </sheets>
  <definedNames>
    <definedName name="Slicer_Exercise_Frequency_week">#N/A</definedName>
    <definedName name="Slicer_Gender">#N/A</definedName>
    <definedName name="Slicer_Happiness_Index_1_10">#N/A</definedName>
    <definedName name="Slicer_Sleep_Quality_1_10">#N/A</definedName>
    <definedName name="Slicer_Social_Media_Platform">#N/A</definedName>
    <definedName name="Slicer_Stress_Level_1_10">#N/A</definedName>
  </definedNames>
  <calcPr calcId="191028"/>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2" i="1"/>
  <c r="B7" i="2"/>
</calcChain>
</file>

<file path=xl/sharedStrings.xml><?xml version="1.0" encoding="utf-8"?>
<sst xmlns="http://schemas.openxmlformats.org/spreadsheetml/2006/main" count="1580" uniqueCount="555">
  <si>
    <t>Wellbeing Insights</t>
  </si>
  <si>
    <t>Degital Habits and Mental Wellbeing</t>
  </si>
  <si>
    <t>User_ID</t>
  </si>
  <si>
    <t>Age</t>
  </si>
  <si>
    <t>Gender</t>
  </si>
  <si>
    <t>Daily_Screen_Time(hrs)</t>
  </si>
  <si>
    <t>Sleep_Quality(1-10)</t>
  </si>
  <si>
    <t>Stress_Level(1-10)</t>
  </si>
  <si>
    <t>Days_Without_Social_Media</t>
  </si>
  <si>
    <t>Exercise_Frequency(week)</t>
  </si>
  <si>
    <t>Social_Media_Platform</t>
  </si>
  <si>
    <t>Happiness_Index(1-10)</t>
  </si>
  <si>
    <t>U001</t>
  </si>
  <si>
    <t>Male</t>
  </si>
  <si>
    <t>Facebook</t>
  </si>
  <si>
    <t>U002</t>
  </si>
  <si>
    <t>Other</t>
  </si>
  <si>
    <t>LinkedIn</t>
  </si>
  <si>
    <t>U003</t>
  </si>
  <si>
    <t>YouTube</t>
  </si>
  <si>
    <t>U004</t>
  </si>
  <si>
    <t>Female</t>
  </si>
  <si>
    <t>TikTok</t>
  </si>
  <si>
    <t>U005</t>
  </si>
  <si>
    <t>X (Twitter)</t>
  </si>
  <si>
    <t>U006</t>
  </si>
  <si>
    <t>U007</t>
  </si>
  <si>
    <t>U008</t>
  </si>
  <si>
    <t>Instagram</t>
  </si>
  <si>
    <t>U009</t>
  </si>
  <si>
    <t>U010</t>
  </si>
  <si>
    <t>U011</t>
  </si>
  <si>
    <t>U012</t>
  </si>
  <si>
    <t>U013</t>
  </si>
  <si>
    <t>U014</t>
  </si>
  <si>
    <t>U015</t>
  </si>
  <si>
    <t>U016</t>
  </si>
  <si>
    <t>U017</t>
  </si>
  <si>
    <t>U018</t>
  </si>
  <si>
    <t>U019</t>
  </si>
  <si>
    <t>U020</t>
  </si>
  <si>
    <t>U021</t>
  </si>
  <si>
    <t>U022</t>
  </si>
  <si>
    <t>U023</t>
  </si>
  <si>
    <t>U024</t>
  </si>
  <si>
    <t>U025</t>
  </si>
  <si>
    <t>U026</t>
  </si>
  <si>
    <t>U027</t>
  </si>
  <si>
    <t>U028</t>
  </si>
  <si>
    <t>U029</t>
  </si>
  <si>
    <t>U030</t>
  </si>
  <si>
    <t>U031</t>
  </si>
  <si>
    <t>U032</t>
  </si>
  <si>
    <t>U033</t>
  </si>
  <si>
    <t>U034</t>
  </si>
  <si>
    <t>U035</t>
  </si>
  <si>
    <t>U036</t>
  </si>
  <si>
    <t>U037</t>
  </si>
  <si>
    <t>U038</t>
  </si>
  <si>
    <t>U039</t>
  </si>
  <si>
    <t>U040</t>
  </si>
  <si>
    <t>U041</t>
  </si>
  <si>
    <t>U042</t>
  </si>
  <si>
    <t>U043</t>
  </si>
  <si>
    <t>U044</t>
  </si>
  <si>
    <t>U045</t>
  </si>
  <si>
    <t>U046</t>
  </si>
  <si>
    <t>U047</t>
  </si>
  <si>
    <t>U048</t>
  </si>
  <si>
    <t>U049</t>
  </si>
  <si>
    <t>U050</t>
  </si>
  <si>
    <t>U051</t>
  </si>
  <si>
    <t>U052</t>
  </si>
  <si>
    <t>U053</t>
  </si>
  <si>
    <t>U054</t>
  </si>
  <si>
    <t>U055</t>
  </si>
  <si>
    <t>U056</t>
  </si>
  <si>
    <t>U057</t>
  </si>
  <si>
    <t>U058</t>
  </si>
  <si>
    <t>U059</t>
  </si>
  <si>
    <t>U060</t>
  </si>
  <si>
    <t>U061</t>
  </si>
  <si>
    <t>U062</t>
  </si>
  <si>
    <t>U063</t>
  </si>
  <si>
    <t>U064</t>
  </si>
  <si>
    <t>U065</t>
  </si>
  <si>
    <t>U066</t>
  </si>
  <si>
    <t>U067</t>
  </si>
  <si>
    <t>U068</t>
  </si>
  <si>
    <t>U069</t>
  </si>
  <si>
    <t>U070</t>
  </si>
  <si>
    <t>U071</t>
  </si>
  <si>
    <t>U072</t>
  </si>
  <si>
    <t>U073</t>
  </si>
  <si>
    <t>U074</t>
  </si>
  <si>
    <t>U075</t>
  </si>
  <si>
    <t>U076</t>
  </si>
  <si>
    <t>U077</t>
  </si>
  <si>
    <t>U078</t>
  </si>
  <si>
    <t>U079</t>
  </si>
  <si>
    <t>U080</t>
  </si>
  <si>
    <t>U081</t>
  </si>
  <si>
    <t>U082</t>
  </si>
  <si>
    <t>U083</t>
  </si>
  <si>
    <t>U084</t>
  </si>
  <si>
    <t>U085</t>
  </si>
  <si>
    <t>U086</t>
  </si>
  <si>
    <t>U087</t>
  </si>
  <si>
    <t>U088</t>
  </si>
  <si>
    <t>U089</t>
  </si>
  <si>
    <t>U090</t>
  </si>
  <si>
    <t>U091</t>
  </si>
  <si>
    <t>U092</t>
  </si>
  <si>
    <t>U093</t>
  </si>
  <si>
    <t>U094</t>
  </si>
  <si>
    <t>U095</t>
  </si>
  <si>
    <t>U096</t>
  </si>
  <si>
    <t>U097</t>
  </si>
  <si>
    <t>U098</t>
  </si>
  <si>
    <t>U099</t>
  </si>
  <si>
    <t>U100</t>
  </si>
  <si>
    <t>U101</t>
  </si>
  <si>
    <t>U102</t>
  </si>
  <si>
    <t>U103</t>
  </si>
  <si>
    <t>U104</t>
  </si>
  <si>
    <t>U105</t>
  </si>
  <si>
    <t>U106</t>
  </si>
  <si>
    <t>U107</t>
  </si>
  <si>
    <t>U108</t>
  </si>
  <si>
    <t>U109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</si>
  <si>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</si>
  <si>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</si>
  <si>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</si>
  <si>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</si>
  <si>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</si>
  <si>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</si>
  <si>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</si>
  <si>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</si>
  <si>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</si>
  <si>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</si>
  <si>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</si>
  <si>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</si>
  <si>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</si>
  <si>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</si>
  <si>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</si>
  <si>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</si>
  <si>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</si>
  <si>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</si>
  <si>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</si>
  <si>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</si>
  <si>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</si>
  <si>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</si>
  <si>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</si>
  <si>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</si>
  <si>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</si>
  <si>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</si>
  <si>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</si>
  <si>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</si>
  <si>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</si>
  <si>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</si>
  <si>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</si>
  <si>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</si>
  <si>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</si>
  <si>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</si>
  <si>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</si>
  <si>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</si>
  <si>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</si>
  <si>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</si>
  <si>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</si>
  <si>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</si>
  <si>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</si>
  <si>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</si>
  <si>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</si>
  <si>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</si>
  <si>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</si>
  <si>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U155</t>
  </si>
  <si>
    <t>U156</t>
  </si>
  <si>
    <t>U157</t>
  </si>
  <si>
    <t>U158</t>
  </si>
  <si>
    <t>U159</t>
  </si>
  <si>
    <t>U160</t>
  </si>
  <si>
    <t>U161</t>
  </si>
  <si>
    <t>U162</t>
  </si>
  <si>
    <t>U163</t>
  </si>
  <si>
    <t>U164</t>
  </si>
  <si>
    <t>U165</t>
  </si>
  <si>
    <t>U166</t>
  </si>
  <si>
    <t>U167</t>
  </si>
  <si>
    <t>U168</t>
  </si>
  <si>
    <t>U169</t>
  </si>
  <si>
    <t>U170</t>
  </si>
  <si>
    <t>U171</t>
  </si>
  <si>
    <t>U172</t>
  </si>
  <si>
    <t>U173</t>
  </si>
  <si>
    <t>U174</t>
  </si>
  <si>
    <t>U175</t>
  </si>
  <si>
    <t>U176</t>
  </si>
  <si>
    <t>U177</t>
  </si>
  <si>
    <t>U178</t>
  </si>
  <si>
    <t>U179</t>
  </si>
  <si>
    <t>U180</t>
  </si>
  <si>
    <t>U181</t>
  </si>
  <si>
    <t>U182</t>
  </si>
  <si>
    <t>U183</t>
  </si>
  <si>
    <t>U184</t>
  </si>
  <si>
    <t>U185</t>
  </si>
  <si>
    <t>U186</t>
  </si>
  <si>
    <t>U187</t>
  </si>
  <si>
    <t>U188</t>
  </si>
  <si>
    <t>U189</t>
  </si>
  <si>
    <t>U190</t>
  </si>
  <si>
    <t>U191</t>
  </si>
  <si>
    <t>U192</t>
  </si>
  <si>
    <t>U193</t>
  </si>
  <si>
    <t>U194</t>
  </si>
  <si>
    <t>U195</t>
  </si>
  <si>
    <t>U196</t>
  </si>
  <si>
    <t>U197</t>
  </si>
  <si>
    <t>U198</t>
  </si>
  <si>
    <t>U199</t>
  </si>
  <si>
    <t>U200</t>
  </si>
  <si>
    <t>U201</t>
  </si>
  <si>
    <t>U202</t>
  </si>
  <si>
    <t>U203</t>
  </si>
  <si>
    <t>U204</t>
  </si>
  <si>
    <t>U205</t>
  </si>
  <si>
    <t>U206</t>
  </si>
  <si>
    <t>U207</t>
  </si>
  <si>
    <t>U208</t>
  </si>
  <si>
    <t>U209</t>
  </si>
  <si>
    <t>U210</t>
  </si>
  <si>
    <t>U211</t>
  </si>
  <si>
    <t>U212</t>
  </si>
  <si>
    <t>U213</t>
  </si>
  <si>
    <t>U214</t>
  </si>
  <si>
    <t>U215</t>
  </si>
  <si>
    <t>U216</t>
  </si>
  <si>
    <t>U217</t>
  </si>
  <si>
    <t>U218</t>
  </si>
  <si>
    <t>U219</t>
  </si>
  <si>
    <t>U220</t>
  </si>
  <si>
    <t>U221</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</si>
  <si>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</si>
  <si>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</si>
  <si>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</si>
  <si>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</si>
  <si>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</si>
  <si>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</si>
  <si>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</si>
  <si>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</si>
  <si>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</si>
  <si>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</si>
  <si>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</si>
  <si>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</si>
  <si>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</si>
  <si>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</si>
  <si>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</si>
  <si>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</si>
  <si>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</si>
  <si>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</si>
  <si>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</si>
  <si>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</si>
  <si>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</si>
  <si>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</si>
  <si>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</si>
  <si>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</si>
  <si>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</si>
  <si>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</si>
  <si>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</si>
  <si>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U249</t>
  </si>
  <si>
    <t>U250</t>
  </si>
  <si>
    <t>U251</t>
  </si>
  <si>
    <t>U252</t>
  </si>
  <si>
    <t>U253</t>
  </si>
  <si>
    <t>U254</t>
  </si>
  <si>
    <t>U255</t>
  </si>
  <si>
    <t>U256</t>
  </si>
  <si>
    <t>U257</t>
  </si>
  <si>
    <t>U258</t>
  </si>
  <si>
    <t>U259</t>
  </si>
  <si>
    <t>U260</t>
  </si>
  <si>
    <t>U261</t>
  </si>
  <si>
    <t>U262</t>
  </si>
  <si>
    <t>U263</t>
  </si>
  <si>
    <t>U264</t>
  </si>
  <si>
    <t>U265</t>
  </si>
  <si>
    <t>U266</t>
  </si>
  <si>
    <t>U267</t>
  </si>
  <si>
    <t>U268</t>
  </si>
  <si>
    <t>U269</t>
  </si>
  <si>
    <t>U270</t>
  </si>
  <si>
    <t>U271</t>
  </si>
  <si>
    <t>U272</t>
  </si>
  <si>
    <t>U273</t>
  </si>
  <si>
    <t>U274</t>
  </si>
  <si>
    <t>U275</t>
  </si>
  <si>
    <t>U276</t>
  </si>
  <si>
    <t>U277</t>
  </si>
  <si>
    <t>U278</t>
  </si>
  <si>
    <t>U279</t>
  </si>
  <si>
    <t>U280</t>
  </si>
  <si>
    <t>U281</t>
  </si>
  <si>
    <t>U282</t>
  </si>
  <si>
    <t>U283</t>
  </si>
  <si>
    <t>U284</t>
  </si>
  <si>
    <t>U285</t>
  </si>
  <si>
    <t>U286</t>
  </si>
  <si>
    <t>U287</t>
  </si>
  <si>
    <t>U288</t>
  </si>
  <si>
    <t>U289</t>
  </si>
  <si>
    <t>U290</t>
  </si>
  <si>
    <t>U291</t>
  </si>
  <si>
    <t>U292</t>
  </si>
  <si>
    <t>U293</t>
  </si>
  <si>
    <t>U294</t>
  </si>
  <si>
    <t>U295</t>
  </si>
  <si>
    <t>U296</t>
  </si>
  <si>
    <t>U297</t>
  </si>
  <si>
    <t>U298</t>
  </si>
  <si>
    <t>U299</t>
  </si>
  <si>
    <t>U300</t>
  </si>
  <si>
    <t>U301</t>
  </si>
  <si>
    <t>U302</t>
  </si>
  <si>
    <t>U303</t>
  </si>
  <si>
    <t>U304</t>
  </si>
  <si>
    <t>U305</t>
  </si>
  <si>
    <t>U306</t>
  </si>
  <si>
    <t>U307</t>
  </si>
  <si>
    <t>U308</t>
  </si>
  <si>
    <t>U309</t>
  </si>
  <si>
    <t>U310</t>
  </si>
  <si>
    <t>U311</t>
  </si>
  <si>
    <t>U312</t>
  </si>
  <si>
    <t>U313</t>
  </si>
  <si>
    <t>U314</t>
  </si>
  <si>
    <t>U315</t>
  </si>
  <si>
    <t>U316</t>
  </si>
  <si>
    <t>U317</t>
  </si>
  <si>
    <t>U318</t>
  </si>
  <si>
    <t>U319</t>
  </si>
  <si>
    <t>U320</t>
  </si>
  <si>
    <t>U321</t>
  </si>
  <si>
    <t>U322</t>
  </si>
  <si>
    <t>U323</t>
  </si>
  <si>
    <t>U324</t>
  </si>
  <si>
    <t>U325</t>
  </si>
  <si>
    <t>U326</t>
  </si>
  <si>
    <t>U327</t>
  </si>
  <si>
    <t>U328</t>
  </si>
  <si>
    <t>U329</t>
  </si>
  <si>
    <t>U330</t>
  </si>
  <si>
    <t>U331</t>
  </si>
  <si>
    <t>U332</t>
  </si>
  <si>
    <t>U333</t>
  </si>
  <si>
    <t>U334</t>
  </si>
  <si>
    <t>U335</t>
  </si>
  <si>
    <t>U336</t>
  </si>
  <si>
    <t>U337</t>
  </si>
  <si>
    <t>U338</t>
  </si>
  <si>
    <t>U339</t>
  </si>
  <si>
    <t>U340</t>
  </si>
  <si>
    <t>U341</t>
  </si>
  <si>
    <t>U342</t>
  </si>
  <si>
    <t>U343</t>
  </si>
  <si>
    <t>U344</t>
  </si>
  <si>
    <t>U345</t>
  </si>
  <si>
    <t>U346</t>
  </si>
  <si>
    <t>U347</t>
  </si>
  <si>
    <t>U348</t>
  </si>
  <si>
    <t>U349</t>
  </si>
  <si>
    <t>U350</t>
  </si>
  <si>
    <t>U351</t>
  </si>
  <si>
    <t>U352</t>
  </si>
  <si>
    <t>U353</t>
  </si>
  <si>
    <t>U354</t>
  </si>
  <si>
    <t>U355</t>
  </si>
  <si>
    <t>U356</t>
  </si>
  <si>
    <t>U357</t>
  </si>
  <si>
    <t>U358</t>
  </si>
  <si>
    <t>U359</t>
  </si>
  <si>
    <t>U360</t>
  </si>
  <si>
    <t>U361</t>
  </si>
  <si>
    <t>U362</t>
  </si>
  <si>
    <t>U363</t>
  </si>
  <si>
    <t>U364</t>
  </si>
  <si>
    <t>U365</t>
  </si>
  <si>
    <t>U366</t>
  </si>
  <si>
    <t>U367</t>
  </si>
  <si>
    <t>U368</t>
  </si>
  <si>
    <t>U369</t>
  </si>
  <si>
    <t>U370</t>
  </si>
  <si>
    <t>U371</t>
  </si>
  <si>
    <t>U372</t>
  </si>
  <si>
    <t>U373</t>
  </si>
  <si>
    <t>U374</t>
  </si>
  <si>
    <t>U375</t>
  </si>
  <si>
    <t>U376</t>
  </si>
  <si>
    <t>U377</t>
  </si>
  <si>
    <t>U378</t>
  </si>
  <si>
    <t>U379</t>
  </si>
  <si>
    <t>U380</t>
  </si>
  <si>
    <t>U381</t>
  </si>
  <si>
    <t>U382</t>
  </si>
  <si>
    <t>U383</t>
  </si>
  <si>
    <t>U384</t>
  </si>
  <si>
    <t>U385</t>
  </si>
  <si>
    <t>U386</t>
  </si>
  <si>
    <t>U387</t>
  </si>
  <si>
    <t>U388</t>
  </si>
  <si>
    <t>U389</t>
  </si>
  <si>
    <t>U390</t>
  </si>
  <si>
    <t>U391</t>
  </si>
  <si>
    <t>U392</t>
  </si>
  <si>
    <t>U393</t>
  </si>
  <si>
    <t>U394</t>
  </si>
  <si>
    <t>U395</t>
  </si>
  <si>
    <t>U396</t>
  </si>
  <si>
    <t>U397</t>
  </si>
  <si>
    <t>U398</t>
  </si>
  <si>
    <t>U399</t>
  </si>
  <si>
    <t>U400</t>
  </si>
  <si>
    <t>U401</t>
  </si>
  <si>
    <t>U402</t>
  </si>
  <si>
    <t>U403</t>
  </si>
  <si>
    <t>U404</t>
  </si>
  <si>
    <t>U405</t>
  </si>
  <si>
    <t>U406</t>
  </si>
  <si>
    <t>U407</t>
  </si>
  <si>
    <t>U408</t>
  </si>
  <si>
    <t>U409</t>
  </si>
  <si>
    <t>U410</t>
  </si>
  <si>
    <t>U411</t>
  </si>
  <si>
    <t>U412</t>
  </si>
  <si>
    <t>U413</t>
  </si>
  <si>
    <t>U414</t>
  </si>
  <si>
    <t>U415</t>
  </si>
  <si>
    <t>U416</t>
  </si>
  <si>
    <t>U417</t>
  </si>
  <si>
    <t>U418</t>
  </si>
  <si>
    <t>U419</t>
  </si>
  <si>
    <t>U420</t>
  </si>
  <si>
    <t>U421</t>
  </si>
  <si>
    <t>U422</t>
  </si>
  <si>
    <t>U423</t>
  </si>
  <si>
    <t>U424</t>
  </si>
  <si>
    <t>U425</t>
  </si>
  <si>
    <t>U426</t>
  </si>
  <si>
    <t>U427</t>
  </si>
  <si>
    <t>U428</t>
  </si>
  <si>
    <t>U429</t>
  </si>
  <si>
    <t>U430</t>
  </si>
  <si>
    <t>U431</t>
  </si>
  <si>
    <t>U432</t>
  </si>
  <si>
    <t>U433</t>
  </si>
  <si>
    <t>U434</t>
  </si>
  <si>
    <t>U435</t>
  </si>
  <si>
    <t>U436</t>
  </si>
  <si>
    <t>U437</t>
  </si>
  <si>
    <t>U438</t>
  </si>
  <si>
    <t>U439</t>
  </si>
  <si>
    <t>U440</t>
  </si>
  <si>
    <t>U441</t>
  </si>
  <si>
    <t>U442</t>
  </si>
  <si>
    <t>U443</t>
  </si>
  <si>
    <t>U444</t>
  </si>
  <si>
    <t>U445</t>
  </si>
  <si>
    <t>U446</t>
  </si>
  <si>
    <t>U447</t>
  </si>
  <si>
    <t>U448</t>
  </si>
  <si>
    <t>U449</t>
  </si>
  <si>
    <t>U450</t>
  </si>
  <si>
    <t>U451</t>
  </si>
  <si>
    <t>U452</t>
  </si>
  <si>
    <t>U453</t>
  </si>
  <si>
    <t>U454</t>
  </si>
  <si>
    <t>U455</t>
  </si>
  <si>
    <t>U456</t>
  </si>
  <si>
    <t>U457</t>
  </si>
  <si>
    <t>U458</t>
  </si>
  <si>
    <t>U459</t>
  </si>
  <si>
    <t>U460</t>
  </si>
  <si>
    <t>U461</t>
  </si>
  <si>
    <t>U462</t>
  </si>
  <si>
    <t>U463</t>
  </si>
  <si>
    <t>U464</t>
  </si>
  <si>
    <t>U465</t>
  </si>
  <si>
    <t>U466</t>
  </si>
  <si>
    <t>U467</t>
  </si>
  <si>
    <t>U468</t>
  </si>
  <si>
    <t>U469</t>
  </si>
  <si>
    <t>U470</t>
  </si>
  <si>
    <t>U471</t>
  </si>
  <si>
    <t>U472</t>
  </si>
  <si>
    <t>U473</t>
  </si>
  <si>
    <t>U474</t>
  </si>
  <si>
    <t>U475</t>
  </si>
  <si>
    <t>U476</t>
  </si>
  <si>
    <t>U477</t>
  </si>
  <si>
    <t>U478</t>
  </si>
  <si>
    <t>U479</t>
  </si>
  <si>
    <t>U480</t>
  </si>
  <si>
    <t>U481</t>
  </si>
  <si>
    <t>U482</t>
  </si>
  <si>
    <t>U483</t>
  </si>
  <si>
    <t>U484</t>
  </si>
  <si>
    <t>U485</t>
  </si>
  <si>
    <t>U486</t>
  </si>
  <si>
    <t>U487</t>
  </si>
  <si>
    <t>U488</t>
  </si>
  <si>
    <t>U489</t>
  </si>
  <si>
    <t>U490</t>
  </si>
  <si>
    <t>U491</t>
  </si>
  <si>
    <t>U492</t>
  </si>
  <si>
    <t>U493</t>
  </si>
  <si>
    <t>U494</t>
  </si>
  <si>
    <t>U495</t>
  </si>
  <si>
    <t>U496</t>
  </si>
  <si>
    <t>U497</t>
  </si>
  <si>
    <t>U498</t>
  </si>
  <si>
    <t>U499</t>
  </si>
  <si>
    <t>U500</t>
  </si>
  <si>
    <t>Values</t>
  </si>
  <si>
    <t>Average of Sleep_Quality(1-10)</t>
  </si>
  <si>
    <t>Average of Daily_Screen_Time(hrs)</t>
  </si>
  <si>
    <t>Average of Happiness_Index(1-10)</t>
  </si>
  <si>
    <t>Average of Stress_Level(1-10)</t>
  </si>
  <si>
    <t>screen time/happiness</t>
  </si>
  <si>
    <t>Row Labels</t>
  </si>
  <si>
    <t>Happiness Index</t>
  </si>
  <si>
    <t>Stress Level</t>
  </si>
  <si>
    <t>Grand Total</t>
  </si>
  <si>
    <t>Sum of Happiness_Index(1-10)</t>
  </si>
  <si>
    <t>Days without Social Media</t>
  </si>
  <si>
    <t>Do users who take breaks from social media report better sleep, lower stress, or higher happiness?</t>
  </si>
  <si>
    <t>How does exercise frequency influence mental health indicators like stress and happiness?</t>
  </si>
  <si>
    <r>
      <t>Are there gender or age differences in how social media usage affects mental health?</t>
    </r>
    <r>
      <rPr>
        <sz val="11"/>
        <color theme="1"/>
        <rFont val="Aptos Narrow"/>
        <family val="2"/>
        <scheme val="minor"/>
      </rPr>
      <t xml:space="preserve"> </t>
    </r>
    <r>
      <rPr>
        <i/>
        <sz val="11"/>
        <color theme="1"/>
        <rFont val="Aptos Narrow"/>
        <family val="2"/>
        <scheme val="minor"/>
      </rPr>
      <t>Supports inclusive, targeted support strategies.</t>
    </r>
  </si>
  <si>
    <t>Which combinations of lifestyle factors (screen time, exercise, sleep) are most predictive of high happiness scores?</t>
  </si>
  <si>
    <t>slicers: Age, social media platform, exercise frequency, days without social media</t>
  </si>
  <si>
    <t>Sum of Stress Level</t>
  </si>
  <si>
    <t>Sum of Sleep Quality</t>
  </si>
  <si>
    <t>Daily Screen Time</t>
  </si>
  <si>
    <t>Happiness_Index</t>
  </si>
  <si>
    <t>Social Media Platforms</t>
  </si>
  <si>
    <t>Age Range</t>
  </si>
  <si>
    <t>46+</t>
  </si>
  <si>
    <t>Sum of Stress_Level(1-10)</t>
  </si>
  <si>
    <t>Sum of Sleep_Quality(1-10)</t>
  </si>
  <si>
    <t>16–20</t>
  </si>
  <si>
    <t>21–25</t>
  </si>
  <si>
    <t>26–30</t>
  </si>
  <si>
    <t>31-35</t>
  </si>
  <si>
    <t>36-40</t>
  </si>
  <si>
    <t>41-45</t>
  </si>
  <si>
    <t xml:space="preserve"> Sleep_Quality</t>
  </si>
  <si>
    <t>Stress_Level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</si>
</sst>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0"/>
      <name val="Aptos Narrow"/>
      <family val="2"/>
      <scheme val="minor"/>
    </font>
    <font>
      <sz val="16"/>
      <color rgb="FFFFFF00"/>
      <name val="Aptos Narrow"/>
      <family val="2"/>
      <scheme val="minor"/>
    </font>
    <font>
      <i/>
      <sz val="11"/>
      <color theme="1"/>
      <name val="Aptos Narrow"/>
      <family val="2"/>
      <scheme val="minor"/>
    </font>
    <font>
      <sz val="11"/>
      <color rgb="FF242424"/>
      <name val="Aptos Narrow"/>
      <charset val="1"/>
    </font>
    <font>
      <sz val="10"/>
      <color theme="1"/>
      <name val="Arial Unicode MS"/>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C3E50"/>
        <bgColor indexed="64"/>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16" fillId="0" borderId="0" xfId="0" applyFont="1"/>
    <xf numFmtId="0" fontId="21" fillId="0" borderId="0" xfId="0" applyFont="1"/>
    <xf numFmtId="0" fontId="0" fillId="33" borderId="0" xfId="0" applyFill="1"/>
    <xf numFmtId="0" fontId="0" fillId="34" borderId="0" xfId="0" applyFill="1"/>
    <xf numFmtId="0" fontId="18" fillId="34" borderId="0" xfId="0" applyFont="1" applyFill="1"/>
    <xf numFmtId="0" fontId="19" fillId="34" borderId="0" xfId="0" applyFont="1" applyFill="1"/>
    <xf numFmtId="0" fontId="0" fillId="0" borderId="10" xfId="0" applyBorder="1"/>
    <xf numFmtId="0" fontId="0" fillId="0" borderId="11" xfId="0" applyBorder="1"/>
    <xf numFmtId="0" fontId="0" fillId="0" borderId="12" xfId="0" applyBorder="1"/>
    <xf numFmtId="0" fontId="13" fillId="35" borderId="13" xfId="0" applyFont="1" applyFill="1" applyBorder="1"/>
    <xf numFmtId="0" fontId="13" fillId="35" borderId="14" xfId="0" applyFont="1" applyFill="1" applyBorder="1"/>
    <xf numFmtId="0" fontId="13" fillId="35" borderId="15" xfId="0" applyFont="1" applyFill="1" applyBorder="1"/>
    <xf numFmtId="0" fontId="0" fillId="36" borderId="13" xfId="0" applyFill="1" applyBorder="1"/>
    <xf numFmtId="0" fontId="0" fillId="36" borderId="14" xfId="0" applyFill="1" applyBorder="1"/>
    <xf numFmtId="0" fontId="22" fillId="36" borderId="15" xfId="0" applyFont="1" applyFill="1" applyBorder="1" applyAlignment="1">
      <alignment vertical="center"/>
    </xf>
    <xf numFmtId="0" fontId="0" fillId="0" borderId="13" xfId="0" applyBorder="1"/>
    <xf numFmtId="0" fontId="0" fillId="0" borderId="14" xfId="0" applyBorder="1"/>
    <xf numFmtId="0" fontId="0" fillId="0" borderId="15" xfId="0" applyBorder="1"/>
    <xf numFmtId="0" fontId="0" fillId="36" borderId="15"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C7CE"/>
        </patternFill>
      </fill>
    </dxf>
  </dxfs>
  <tableStyles count="0" defaultTableStyle="TableStyleMedium2" defaultPivotStyle="PivotStyleLight16"/>
  <colors>
    <mruColors>
      <color rgb="FF2C3E50"/>
      <color rgb="FFC9A961"/>
      <color rgb="FF4A9B9B"/>
      <color rgb="FFF2EFF5"/>
      <color rgb="FFFCE7FF"/>
      <color rgb="FFEBF8F9"/>
      <color rgb="FFFEF7FF"/>
      <color rgb="FFFFFFCC"/>
      <color rgb="FF6581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Dashboards.xlsx]Sheet2!PivotTable9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Social Media Platforms with Higer and Lower Happiness Index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Sheet2!$A$4:$A$10</c:f>
              <c:strCache>
                <c:ptCount val="6"/>
                <c:pt idx="0">
                  <c:v>Instagram</c:v>
                </c:pt>
                <c:pt idx="1">
                  <c:v>YouTube</c:v>
                </c:pt>
                <c:pt idx="2">
                  <c:v>Facebook</c:v>
                </c:pt>
                <c:pt idx="3">
                  <c:v>LinkedIn</c:v>
                </c:pt>
                <c:pt idx="4">
                  <c:v>X (Twitter)</c:v>
                </c:pt>
                <c:pt idx="5">
                  <c:v>TikTok</c:v>
                </c:pt>
              </c:strCache>
            </c:strRef>
          </c:cat>
          <c:val>
            <c:numRef>
              <c:f>Sheet2!$B$4:$B$10</c:f>
              <c:numCache>
                <c:formatCode>General</c:formatCode>
                <c:ptCount val="6"/>
                <c:pt idx="0">
                  <c:v>591</c:v>
                </c:pt>
                <c:pt idx="1">
                  <c:v>623</c:v>
                </c:pt>
                <c:pt idx="2">
                  <c:v>676</c:v>
                </c:pt>
                <c:pt idx="3">
                  <c:v>741</c:v>
                </c:pt>
                <c:pt idx="4">
                  <c:v>761</c:v>
                </c:pt>
                <c:pt idx="5">
                  <c:v>796</c:v>
                </c:pt>
              </c:numCache>
            </c:numRef>
          </c:val>
          <c:extLst>
            <c:ext xmlns:c16="http://schemas.microsoft.com/office/drawing/2014/chart" uri="{C3380CC4-5D6E-409C-BE32-E72D297353CC}">
              <c16:uniqueId val="{00000000-8EED-4560-9602-23C3FA1133B5}"/>
            </c:ext>
          </c:extLst>
        </c:ser>
        <c:dLbls>
          <c:showLegendKey val="0"/>
          <c:showVal val="0"/>
          <c:showCatName val="0"/>
          <c:showSerName val="0"/>
          <c:showPercent val="0"/>
          <c:showBubbleSize val="0"/>
        </c:dLbls>
        <c:gapWidth val="150"/>
        <c:shape val="box"/>
        <c:axId val="2118339632"/>
        <c:axId val="95914736"/>
        <c:axId val="0"/>
      </c:bar3DChart>
      <c:catAx>
        <c:axId val="2118339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4736"/>
        <c:crosses val="autoZero"/>
        <c:auto val="1"/>
        <c:lblAlgn val="ctr"/>
        <c:lblOffset val="100"/>
        <c:noMultiLvlLbl val="0"/>
      </c:catAx>
      <c:valAx>
        <c:axId val="9591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33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Dashboards.xlsx]Sheet3!PivotTable10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Impact of Social Media Breaks on Stress and Sleep Quality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36158043434434E-2"/>
          <c:y val="0.25765843760298512"/>
          <c:w val="0.89502119307076911"/>
          <c:h val="0.55673050857367623"/>
        </c:manualLayout>
      </c:layout>
      <c:barChart>
        <c:barDir val="col"/>
        <c:grouping val="clustered"/>
        <c:varyColors val="0"/>
        <c:ser>
          <c:idx val="0"/>
          <c:order val="0"/>
          <c:tx>
            <c:strRef>
              <c:f>Sheet3!$B$2</c:f>
              <c:strCache>
                <c:ptCount val="1"/>
                <c:pt idx="0">
                  <c:v>Sum of Stress Level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Sheet3!$A$3:$A$12</c:f>
              <c:strCache>
                <c:ptCount val="9"/>
                <c:pt idx="0">
                  <c:v>0</c:v>
                </c:pt>
                <c:pt idx="1">
                  <c:v>1</c:v>
                </c:pt>
                <c:pt idx="2">
                  <c:v>2</c:v>
                </c:pt>
                <c:pt idx="3">
                  <c:v>3</c:v>
                </c:pt>
                <c:pt idx="4">
                  <c:v>4</c:v>
                </c:pt>
                <c:pt idx="5">
                  <c:v>5</c:v>
                </c:pt>
                <c:pt idx="6">
                  <c:v>6</c:v>
                </c:pt>
                <c:pt idx="7">
                  <c:v>7</c:v>
                </c:pt>
                <c:pt idx="8">
                  <c:v>9</c:v>
                </c:pt>
              </c:strCache>
            </c:strRef>
          </c:cat>
          <c:val>
            <c:numRef>
              <c:f>Sheet3!$B$3:$B$12</c:f>
              <c:numCache>
                <c:formatCode>General</c:formatCode>
                <c:ptCount val="9"/>
                <c:pt idx="0">
                  <c:v>324</c:v>
                </c:pt>
                <c:pt idx="1">
                  <c:v>382</c:v>
                </c:pt>
                <c:pt idx="2">
                  <c:v>575</c:v>
                </c:pt>
                <c:pt idx="3">
                  <c:v>614</c:v>
                </c:pt>
                <c:pt idx="4">
                  <c:v>555</c:v>
                </c:pt>
                <c:pt idx="5">
                  <c:v>511</c:v>
                </c:pt>
                <c:pt idx="6">
                  <c:v>238</c:v>
                </c:pt>
                <c:pt idx="7">
                  <c:v>104</c:v>
                </c:pt>
                <c:pt idx="8">
                  <c:v>6</c:v>
                </c:pt>
              </c:numCache>
            </c:numRef>
          </c:val>
          <c:extLst>
            <c:ext xmlns:c16="http://schemas.microsoft.com/office/drawing/2014/chart" uri="{C3380CC4-5D6E-409C-BE32-E72D297353CC}">
              <c16:uniqueId val="{00000000-F16C-411D-87AA-EEE1A2047512}"/>
            </c:ext>
          </c:extLst>
        </c:ser>
        <c:dLbls>
          <c:showLegendKey val="0"/>
          <c:showVal val="0"/>
          <c:showCatName val="0"/>
          <c:showSerName val="0"/>
          <c:showPercent val="0"/>
          <c:showBubbleSize val="0"/>
        </c:dLbls>
        <c:gapWidth val="150"/>
        <c:axId val="1678586887"/>
        <c:axId val="1678588935"/>
      </c:barChart>
      <c:lineChart>
        <c:grouping val="standard"/>
        <c:varyColors val="0"/>
        <c:ser>
          <c:idx val="1"/>
          <c:order val="1"/>
          <c:tx>
            <c:strRef>
              <c:f>Sheet3!$C$2</c:f>
              <c:strCache>
                <c:ptCount val="1"/>
                <c:pt idx="0">
                  <c:v>Sum of Sleep Quality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Sheet3!$A$3:$A$12</c:f>
              <c:strCache>
                <c:ptCount val="9"/>
                <c:pt idx="0">
                  <c:v>0</c:v>
                </c:pt>
                <c:pt idx="1">
                  <c:v>1</c:v>
                </c:pt>
                <c:pt idx="2">
                  <c:v>2</c:v>
                </c:pt>
                <c:pt idx="3">
                  <c:v>3</c:v>
                </c:pt>
                <c:pt idx="4">
                  <c:v>4</c:v>
                </c:pt>
                <c:pt idx="5">
                  <c:v>5</c:v>
                </c:pt>
                <c:pt idx="6">
                  <c:v>6</c:v>
                </c:pt>
                <c:pt idx="7">
                  <c:v>7</c:v>
                </c:pt>
                <c:pt idx="8">
                  <c:v>9</c:v>
                </c:pt>
              </c:strCache>
            </c:strRef>
          </c:cat>
          <c:val>
            <c:numRef>
              <c:f>Sheet3!$C$3:$C$12</c:f>
              <c:numCache>
                <c:formatCode>General</c:formatCode>
                <c:ptCount val="9"/>
                <c:pt idx="0">
                  <c:v>302</c:v>
                </c:pt>
                <c:pt idx="1">
                  <c:v>363</c:v>
                </c:pt>
                <c:pt idx="2">
                  <c:v>521</c:v>
                </c:pt>
                <c:pt idx="3">
                  <c:v>575</c:v>
                </c:pt>
                <c:pt idx="4">
                  <c:v>565</c:v>
                </c:pt>
                <c:pt idx="5">
                  <c:v>506</c:v>
                </c:pt>
                <c:pt idx="6">
                  <c:v>232</c:v>
                </c:pt>
                <c:pt idx="7">
                  <c:v>84</c:v>
                </c:pt>
                <c:pt idx="8">
                  <c:v>4</c:v>
                </c:pt>
              </c:numCache>
            </c:numRef>
          </c:val>
          <c:smooth val="0"/>
          <c:extLst>
            <c:ext xmlns:c16="http://schemas.microsoft.com/office/drawing/2014/chart" uri="{C3380CC4-5D6E-409C-BE32-E72D297353CC}">
              <c16:uniqueId val="{00000001-F16C-411D-87AA-EEE1A2047512}"/>
            </c:ext>
          </c:extLst>
        </c:ser>
        <c:dLbls>
          <c:showLegendKey val="0"/>
          <c:showVal val="0"/>
          <c:showCatName val="0"/>
          <c:showSerName val="0"/>
          <c:showPercent val="0"/>
          <c:showBubbleSize val="0"/>
        </c:dLbls>
        <c:marker val="1"/>
        <c:smooth val="0"/>
        <c:axId val="1678586887"/>
        <c:axId val="1678588935"/>
      </c:lineChart>
      <c:catAx>
        <c:axId val="1678586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588935"/>
        <c:crosses val="autoZero"/>
        <c:auto val="1"/>
        <c:lblAlgn val="ctr"/>
        <c:lblOffset val="100"/>
        <c:noMultiLvlLbl val="0"/>
      </c:catAx>
      <c:valAx>
        <c:axId val="1678588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586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Dashboards.xlsx]Sheet4!PivotTable11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Impact of Exercise on Stress Level Happiness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Sheet4!$B$2</c:f>
              <c:strCache>
                <c:ptCount val="1"/>
                <c:pt idx="0">
                  <c:v>Stress Level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Sheet4!$A$3:$A$11</c:f>
              <c:strCache>
                <c:ptCount val="8"/>
                <c:pt idx="0">
                  <c:v>0</c:v>
                </c:pt>
                <c:pt idx="1">
                  <c:v>1</c:v>
                </c:pt>
                <c:pt idx="2">
                  <c:v>2</c:v>
                </c:pt>
                <c:pt idx="3">
                  <c:v>3</c:v>
                </c:pt>
                <c:pt idx="4">
                  <c:v>4</c:v>
                </c:pt>
                <c:pt idx="5">
                  <c:v>5</c:v>
                </c:pt>
                <c:pt idx="6">
                  <c:v>6</c:v>
                </c:pt>
                <c:pt idx="7">
                  <c:v>7</c:v>
                </c:pt>
              </c:strCache>
            </c:strRef>
          </c:cat>
          <c:val>
            <c:numRef>
              <c:f>Sheet4!$B$3:$B$11</c:f>
              <c:numCache>
                <c:formatCode>General</c:formatCode>
                <c:ptCount val="8"/>
                <c:pt idx="0">
                  <c:v>268</c:v>
                </c:pt>
                <c:pt idx="1">
                  <c:v>605</c:v>
                </c:pt>
                <c:pt idx="2">
                  <c:v>898</c:v>
                </c:pt>
                <c:pt idx="3">
                  <c:v>784</c:v>
                </c:pt>
                <c:pt idx="4">
                  <c:v>489</c:v>
                </c:pt>
                <c:pt idx="5">
                  <c:v>231</c:v>
                </c:pt>
                <c:pt idx="6">
                  <c:v>22</c:v>
                </c:pt>
                <c:pt idx="7">
                  <c:v>12</c:v>
                </c:pt>
              </c:numCache>
            </c:numRef>
          </c:val>
          <c:extLst>
            <c:ext xmlns:c16="http://schemas.microsoft.com/office/drawing/2014/chart" uri="{C3380CC4-5D6E-409C-BE32-E72D297353CC}">
              <c16:uniqueId val="{00000000-600D-40F2-AB92-4D6EA6EC3720}"/>
            </c:ext>
          </c:extLst>
        </c:ser>
        <c:ser>
          <c:idx val="1"/>
          <c:order val="1"/>
          <c:tx>
            <c:strRef>
              <c:f>Sheet4!$C$2</c:f>
              <c:strCache>
                <c:ptCount val="1"/>
                <c:pt idx="0">
                  <c:v>Happiness Index</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Sheet4!$A$3:$A$11</c:f>
              <c:strCache>
                <c:ptCount val="8"/>
                <c:pt idx="0">
                  <c:v>0</c:v>
                </c:pt>
                <c:pt idx="1">
                  <c:v>1</c:v>
                </c:pt>
                <c:pt idx="2">
                  <c:v>2</c:v>
                </c:pt>
                <c:pt idx="3">
                  <c:v>3</c:v>
                </c:pt>
                <c:pt idx="4">
                  <c:v>4</c:v>
                </c:pt>
                <c:pt idx="5">
                  <c:v>5</c:v>
                </c:pt>
                <c:pt idx="6">
                  <c:v>6</c:v>
                </c:pt>
                <c:pt idx="7">
                  <c:v>7</c:v>
                </c:pt>
              </c:strCache>
            </c:strRef>
          </c:cat>
          <c:val>
            <c:numRef>
              <c:f>Sheet4!$C$3:$C$11</c:f>
              <c:numCache>
                <c:formatCode>General</c:formatCode>
                <c:ptCount val="8"/>
                <c:pt idx="0">
                  <c:v>367</c:v>
                </c:pt>
                <c:pt idx="1">
                  <c:v>767</c:v>
                </c:pt>
                <c:pt idx="2">
                  <c:v>1089</c:v>
                </c:pt>
                <c:pt idx="3">
                  <c:v>960</c:v>
                </c:pt>
                <c:pt idx="4">
                  <c:v>631</c:v>
                </c:pt>
                <c:pt idx="5">
                  <c:v>316</c:v>
                </c:pt>
                <c:pt idx="6">
                  <c:v>38</c:v>
                </c:pt>
                <c:pt idx="7">
                  <c:v>20</c:v>
                </c:pt>
              </c:numCache>
            </c:numRef>
          </c:val>
          <c:extLst>
            <c:ext xmlns:c16="http://schemas.microsoft.com/office/drawing/2014/chart" uri="{C3380CC4-5D6E-409C-BE32-E72D297353CC}">
              <c16:uniqueId val="{00000001-600D-40F2-AB92-4D6EA6EC3720}"/>
            </c:ext>
          </c:extLst>
        </c:ser>
        <c:dLbls>
          <c:showLegendKey val="0"/>
          <c:showVal val="0"/>
          <c:showCatName val="0"/>
          <c:showSerName val="0"/>
          <c:showPercent val="0"/>
          <c:showBubbleSize val="0"/>
        </c:dLbls>
        <c:gapWidth val="150"/>
        <c:shape val="box"/>
        <c:axId val="1596731911"/>
        <c:axId val="1596733959"/>
        <c:axId val="0"/>
      </c:bar3DChart>
      <c:catAx>
        <c:axId val="1596731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733959"/>
        <c:crosses val="autoZero"/>
        <c:auto val="1"/>
        <c:lblAlgn val="ctr"/>
        <c:lblOffset val="100"/>
        <c:noMultiLvlLbl val="0"/>
      </c:catAx>
      <c:valAx>
        <c:axId val="1596733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731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Dashboards.xlsx]Sheet5!PivotTable12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How Social Media Affects Mental Health Based on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c:f>
              <c:strCache>
                <c:ptCount val="1"/>
                <c:pt idx="0">
                  <c:v>Daily Screen Time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Sheet5!$A$3:$A$6</c:f>
              <c:strCache>
                <c:ptCount val="3"/>
                <c:pt idx="0">
                  <c:v>Female</c:v>
                </c:pt>
                <c:pt idx="1">
                  <c:v>Male</c:v>
                </c:pt>
                <c:pt idx="2">
                  <c:v>Other</c:v>
                </c:pt>
              </c:strCache>
            </c:strRef>
          </c:cat>
          <c:val>
            <c:numRef>
              <c:f>Sheet5!$B$3:$B$6</c:f>
              <c:numCache>
                <c:formatCode>General</c:formatCode>
                <c:ptCount val="3"/>
                <c:pt idx="0">
                  <c:v>1262.3000000000002</c:v>
                </c:pt>
                <c:pt idx="1">
                  <c:v>1386.2000000000005</c:v>
                </c:pt>
                <c:pt idx="2">
                  <c:v>116.49999999999999</c:v>
                </c:pt>
              </c:numCache>
            </c:numRef>
          </c:val>
          <c:extLst>
            <c:ext xmlns:c16="http://schemas.microsoft.com/office/drawing/2014/chart" uri="{C3380CC4-5D6E-409C-BE32-E72D297353CC}">
              <c16:uniqueId val="{00000000-5EFF-4D1C-825B-0D719C28A96F}"/>
            </c:ext>
          </c:extLst>
        </c:ser>
        <c:ser>
          <c:idx val="1"/>
          <c:order val="1"/>
          <c:tx>
            <c:strRef>
              <c:f>Sheet5!$C$2</c:f>
              <c:strCache>
                <c:ptCount val="1"/>
                <c:pt idx="0">
                  <c:v>Stress Level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Sheet5!$A$3:$A$6</c:f>
              <c:strCache>
                <c:ptCount val="3"/>
                <c:pt idx="0">
                  <c:v>Female</c:v>
                </c:pt>
                <c:pt idx="1">
                  <c:v>Male</c:v>
                </c:pt>
                <c:pt idx="2">
                  <c:v>Other</c:v>
                </c:pt>
              </c:strCache>
            </c:strRef>
          </c:cat>
          <c:val>
            <c:numRef>
              <c:f>Sheet5!$C$3:$C$6</c:f>
              <c:numCache>
                <c:formatCode>General</c:formatCode>
                <c:ptCount val="3"/>
                <c:pt idx="0">
                  <c:v>1512</c:v>
                </c:pt>
                <c:pt idx="1">
                  <c:v>1645</c:v>
                </c:pt>
                <c:pt idx="2">
                  <c:v>152</c:v>
                </c:pt>
              </c:numCache>
            </c:numRef>
          </c:val>
          <c:extLst>
            <c:ext xmlns:c16="http://schemas.microsoft.com/office/drawing/2014/chart" uri="{C3380CC4-5D6E-409C-BE32-E72D297353CC}">
              <c16:uniqueId val="{00000001-5EFF-4D1C-825B-0D719C28A96F}"/>
            </c:ext>
          </c:extLst>
        </c:ser>
        <c:dLbls>
          <c:showLegendKey val="0"/>
          <c:showVal val="0"/>
          <c:showCatName val="0"/>
          <c:showSerName val="0"/>
          <c:showPercent val="0"/>
          <c:showBubbleSize val="0"/>
        </c:dLbls>
        <c:gapWidth val="100"/>
        <c:axId val="1512915463"/>
        <c:axId val="1512918535"/>
      </c:barChart>
      <c:lineChart>
        <c:grouping val="standard"/>
        <c:varyColors val="0"/>
        <c:ser>
          <c:idx val="2"/>
          <c:order val="2"/>
          <c:tx>
            <c:strRef>
              <c:f>Sheet5!$D$2</c:f>
              <c:strCache>
                <c:ptCount val="1"/>
                <c:pt idx="0">
                  <c:v>Happiness_Index</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Sheet5!$A$3:$A$6</c:f>
              <c:strCache>
                <c:ptCount val="3"/>
                <c:pt idx="0">
                  <c:v>Female</c:v>
                </c:pt>
                <c:pt idx="1">
                  <c:v>Male</c:v>
                </c:pt>
                <c:pt idx="2">
                  <c:v>Other</c:v>
                </c:pt>
              </c:strCache>
            </c:strRef>
          </c:cat>
          <c:val>
            <c:numRef>
              <c:f>Sheet5!$D$3:$D$6</c:f>
              <c:numCache>
                <c:formatCode>General</c:formatCode>
                <c:ptCount val="3"/>
                <c:pt idx="0">
                  <c:v>1916</c:v>
                </c:pt>
                <c:pt idx="1">
                  <c:v>2070</c:v>
                </c:pt>
                <c:pt idx="2">
                  <c:v>202</c:v>
                </c:pt>
              </c:numCache>
            </c:numRef>
          </c:val>
          <c:smooth val="0"/>
          <c:extLst>
            <c:ext xmlns:c16="http://schemas.microsoft.com/office/drawing/2014/chart" uri="{C3380CC4-5D6E-409C-BE32-E72D297353CC}">
              <c16:uniqueId val="{00000002-5EFF-4D1C-825B-0D719C28A96F}"/>
            </c:ext>
          </c:extLst>
        </c:ser>
        <c:dLbls>
          <c:showLegendKey val="0"/>
          <c:showVal val="0"/>
          <c:showCatName val="0"/>
          <c:showSerName val="0"/>
          <c:showPercent val="0"/>
          <c:showBubbleSize val="0"/>
        </c:dLbls>
        <c:marker val="1"/>
        <c:smooth val="0"/>
        <c:axId val="1512915463"/>
        <c:axId val="1512918535"/>
      </c:lineChart>
      <c:catAx>
        <c:axId val="1512915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918535"/>
        <c:crosses val="autoZero"/>
        <c:auto val="1"/>
        <c:lblAlgn val="ctr"/>
        <c:lblOffset val="100"/>
        <c:noMultiLvlLbl val="0"/>
      </c:catAx>
      <c:valAx>
        <c:axId val="1512918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915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Dashboards.xlsx]Sheet6!PivotTable13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Top 3 Social Media Platform with Highest Stress Level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Sheet6!$B$2:$B$3</c:f>
              <c:strCache>
                <c:ptCount val="1"/>
                <c:pt idx="0">
                  <c:v>Facebook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Sheet6!$A$4:$A$7</c:f>
              <c:strCache>
                <c:ptCount val="3"/>
                <c:pt idx="0">
                  <c:v>Female</c:v>
                </c:pt>
                <c:pt idx="1">
                  <c:v>Male</c:v>
                </c:pt>
                <c:pt idx="2">
                  <c:v>Other</c:v>
                </c:pt>
              </c:strCache>
            </c:strRef>
          </c:cat>
          <c:val>
            <c:numRef>
              <c:f>Sheet6!$B$4:$B$7</c:f>
              <c:numCache>
                <c:formatCode>General</c:formatCode>
                <c:ptCount val="3"/>
                <c:pt idx="0">
                  <c:v>305</c:v>
                </c:pt>
                <c:pt idx="1">
                  <c:v>229</c:v>
                </c:pt>
                <c:pt idx="2">
                  <c:v>6</c:v>
                </c:pt>
              </c:numCache>
            </c:numRef>
          </c:val>
          <c:extLst>
            <c:ext xmlns:c16="http://schemas.microsoft.com/office/drawing/2014/chart" uri="{C3380CC4-5D6E-409C-BE32-E72D297353CC}">
              <c16:uniqueId val="{00000000-EF88-4FB5-8B4F-ABBCDF65679F}"/>
            </c:ext>
          </c:extLst>
        </c:ser>
        <c:ser>
          <c:idx val="1"/>
          <c:order val="1"/>
          <c:tx>
            <c:strRef>
              <c:f>Sheet6!$C$2:$C$3</c:f>
              <c:strCache>
                <c:ptCount val="1"/>
                <c:pt idx="0">
                  <c:v>Instagram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Sheet6!$A$4:$A$7</c:f>
              <c:strCache>
                <c:ptCount val="3"/>
                <c:pt idx="0">
                  <c:v>Female</c:v>
                </c:pt>
                <c:pt idx="1">
                  <c:v>Male</c:v>
                </c:pt>
                <c:pt idx="2">
                  <c:v>Other</c:v>
                </c:pt>
              </c:strCache>
            </c:strRef>
          </c:cat>
          <c:val>
            <c:numRef>
              <c:f>Sheet6!$C$4:$C$7</c:f>
              <c:numCache>
                <c:formatCode>General</c:formatCode>
                <c:ptCount val="3"/>
                <c:pt idx="0">
                  <c:v>183</c:v>
                </c:pt>
                <c:pt idx="1">
                  <c:v>309</c:v>
                </c:pt>
                <c:pt idx="2">
                  <c:v>23</c:v>
                </c:pt>
              </c:numCache>
            </c:numRef>
          </c:val>
          <c:extLst>
            <c:ext xmlns:c16="http://schemas.microsoft.com/office/drawing/2014/chart" uri="{C3380CC4-5D6E-409C-BE32-E72D297353CC}">
              <c16:uniqueId val="{00000014-EF88-4FB5-8B4F-ABBCDF65679F}"/>
            </c:ext>
          </c:extLst>
        </c:ser>
        <c:ser>
          <c:idx val="2"/>
          <c:order val="2"/>
          <c:tx>
            <c:strRef>
              <c:f>Sheet6!$D$2:$D$3</c:f>
              <c:strCache>
                <c:ptCount val="1"/>
                <c:pt idx="0">
                  <c:v>LinkedIn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Sheet6!$A$4:$A$7</c:f>
              <c:strCache>
                <c:ptCount val="3"/>
                <c:pt idx="0">
                  <c:v>Female</c:v>
                </c:pt>
                <c:pt idx="1">
                  <c:v>Male</c:v>
                </c:pt>
                <c:pt idx="2">
                  <c:v>Other</c:v>
                </c:pt>
              </c:strCache>
            </c:strRef>
          </c:cat>
          <c:val>
            <c:numRef>
              <c:f>Sheet6!$D$4:$D$7</c:f>
              <c:numCache>
                <c:formatCode>General</c:formatCode>
                <c:ptCount val="3"/>
                <c:pt idx="0">
                  <c:v>285</c:v>
                </c:pt>
                <c:pt idx="1">
                  <c:v>247</c:v>
                </c:pt>
                <c:pt idx="2">
                  <c:v>30</c:v>
                </c:pt>
              </c:numCache>
            </c:numRef>
          </c:val>
          <c:extLst>
            <c:ext xmlns:c16="http://schemas.microsoft.com/office/drawing/2014/chart" uri="{C3380CC4-5D6E-409C-BE32-E72D297353CC}">
              <c16:uniqueId val="{00000015-EF88-4FB5-8B4F-ABBCDF65679F}"/>
            </c:ext>
          </c:extLst>
        </c:ser>
        <c:ser>
          <c:idx val="3"/>
          <c:order val="3"/>
          <c:tx>
            <c:strRef>
              <c:f>Sheet6!$E$2:$E$3</c:f>
              <c:strCache>
                <c:ptCount val="1"/>
                <c:pt idx="0">
                  <c:v>TikTok</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Sheet6!$A$4:$A$7</c:f>
              <c:strCache>
                <c:ptCount val="3"/>
                <c:pt idx="0">
                  <c:v>Female</c:v>
                </c:pt>
                <c:pt idx="1">
                  <c:v>Male</c:v>
                </c:pt>
                <c:pt idx="2">
                  <c:v>Other</c:v>
                </c:pt>
              </c:strCache>
            </c:strRef>
          </c:cat>
          <c:val>
            <c:numRef>
              <c:f>Sheet6!$E$4:$E$7</c:f>
              <c:numCache>
                <c:formatCode>General</c:formatCode>
                <c:ptCount val="3"/>
                <c:pt idx="0">
                  <c:v>287</c:v>
                </c:pt>
                <c:pt idx="1">
                  <c:v>317</c:v>
                </c:pt>
                <c:pt idx="2">
                  <c:v>22</c:v>
                </c:pt>
              </c:numCache>
            </c:numRef>
          </c:val>
          <c:extLst>
            <c:ext xmlns:c16="http://schemas.microsoft.com/office/drawing/2014/chart" uri="{C3380CC4-5D6E-409C-BE32-E72D297353CC}">
              <c16:uniqueId val="{00000016-EF88-4FB5-8B4F-ABBCDF65679F}"/>
            </c:ext>
          </c:extLst>
        </c:ser>
        <c:ser>
          <c:idx val="4"/>
          <c:order val="4"/>
          <c:tx>
            <c:strRef>
              <c:f>Sheet6!$F$2:$F$3</c:f>
              <c:strCache>
                <c:ptCount val="1"/>
                <c:pt idx="0">
                  <c:v>X (Twitter)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Sheet6!$A$4:$A$7</c:f>
              <c:strCache>
                <c:ptCount val="3"/>
                <c:pt idx="0">
                  <c:v>Female</c:v>
                </c:pt>
                <c:pt idx="1">
                  <c:v>Male</c:v>
                </c:pt>
                <c:pt idx="2">
                  <c:v>Other</c:v>
                </c:pt>
              </c:strCache>
            </c:strRef>
          </c:cat>
          <c:val>
            <c:numRef>
              <c:f>Sheet6!$F$4:$F$7</c:f>
              <c:numCache>
                <c:formatCode>General</c:formatCode>
                <c:ptCount val="3"/>
                <c:pt idx="0">
                  <c:v>237</c:v>
                </c:pt>
                <c:pt idx="1">
                  <c:v>298</c:v>
                </c:pt>
                <c:pt idx="2">
                  <c:v>33</c:v>
                </c:pt>
              </c:numCache>
            </c:numRef>
          </c:val>
          <c:extLst>
            <c:ext xmlns:c16="http://schemas.microsoft.com/office/drawing/2014/chart" uri="{C3380CC4-5D6E-409C-BE32-E72D297353CC}">
              <c16:uniqueId val="{00000017-EF88-4FB5-8B4F-ABBCDF65679F}"/>
            </c:ext>
          </c:extLst>
        </c:ser>
        <c:ser>
          <c:idx val="5"/>
          <c:order val="5"/>
          <c:tx>
            <c:strRef>
              <c:f>Sheet6!$G$2:$G$3</c:f>
              <c:strCache>
                <c:ptCount val="1"/>
                <c:pt idx="0">
                  <c:v>YouTube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Sheet6!$A$4:$A$7</c:f>
              <c:strCache>
                <c:ptCount val="3"/>
                <c:pt idx="0">
                  <c:v>Female</c:v>
                </c:pt>
                <c:pt idx="1">
                  <c:v>Male</c:v>
                </c:pt>
                <c:pt idx="2">
                  <c:v>Other</c:v>
                </c:pt>
              </c:strCache>
            </c:strRef>
          </c:cat>
          <c:val>
            <c:numRef>
              <c:f>Sheet6!$G$4:$G$7</c:f>
              <c:numCache>
                <c:formatCode>General</c:formatCode>
                <c:ptCount val="3"/>
                <c:pt idx="0">
                  <c:v>215</c:v>
                </c:pt>
                <c:pt idx="1">
                  <c:v>245</c:v>
                </c:pt>
                <c:pt idx="2">
                  <c:v>38</c:v>
                </c:pt>
              </c:numCache>
            </c:numRef>
          </c:val>
          <c:extLst>
            <c:ext xmlns:c16="http://schemas.microsoft.com/office/drawing/2014/chart" uri="{C3380CC4-5D6E-409C-BE32-E72D297353CC}">
              <c16:uniqueId val="{00000018-EF88-4FB5-8B4F-ABBCDF65679F}"/>
            </c:ext>
          </c:extLst>
        </c:ser>
        <c:dLbls>
          <c:showLegendKey val="0"/>
          <c:showVal val="0"/>
          <c:showCatName val="0"/>
          <c:showSerName val="0"/>
          <c:showPercent val="0"/>
          <c:showBubbleSize val="0"/>
        </c:dLbls>
        <c:gapWidth val="150"/>
        <c:shape val="box"/>
        <c:axId val="364634127"/>
        <c:axId val="364627887"/>
        <c:axId val="2108001503"/>
      </c:bar3DChart>
      <c:catAx>
        <c:axId val="36463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27887"/>
        <c:crosses val="autoZero"/>
        <c:auto val="1"/>
        <c:lblAlgn val="ctr"/>
        <c:lblOffset val="100"/>
        <c:noMultiLvlLbl val="0"/>
      </c:catAx>
      <c:valAx>
        <c:axId val="364627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34127"/>
        <c:crosses val="autoZero"/>
        <c:crossBetween val="between"/>
      </c:valAx>
      <c:serAx>
        <c:axId val="21080015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27887"/>
        <c:crosses val="autoZero"/>
      </c:ser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Dashboards.xlsx]Sheet7!PivotTable4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Degital Impact Across Different Age 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Sheet7!$B$1</c:f>
              <c:strCache>
                <c:ptCount val="1"/>
                <c:pt idx="0">
                  <c:v> Sleep_Quality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Sheet7!$A$2:$A$9</c:f>
              <c:strCache>
                <c:ptCount val="7"/>
                <c:pt idx="0">
                  <c:v>16–20</c:v>
                </c:pt>
                <c:pt idx="1">
                  <c:v>21–25</c:v>
                </c:pt>
                <c:pt idx="2">
                  <c:v>26–30</c:v>
                </c:pt>
                <c:pt idx="3">
                  <c:v>31-35</c:v>
                </c:pt>
                <c:pt idx="4">
                  <c:v>36-40</c:v>
                </c:pt>
                <c:pt idx="5">
                  <c:v>41-45</c:v>
                </c:pt>
                <c:pt idx="6">
                  <c:v>46+</c:v>
                </c:pt>
              </c:strCache>
            </c:strRef>
          </c:cat>
          <c:val>
            <c:numRef>
              <c:f>Sheet7!$B$2:$B$9</c:f>
              <c:numCache>
                <c:formatCode>General</c:formatCode>
                <c:ptCount val="7"/>
                <c:pt idx="0">
                  <c:v>488</c:v>
                </c:pt>
                <c:pt idx="1">
                  <c:v>420</c:v>
                </c:pt>
                <c:pt idx="2">
                  <c:v>397</c:v>
                </c:pt>
                <c:pt idx="3">
                  <c:v>423</c:v>
                </c:pt>
                <c:pt idx="4">
                  <c:v>520</c:v>
                </c:pt>
                <c:pt idx="5">
                  <c:v>534</c:v>
                </c:pt>
                <c:pt idx="6">
                  <c:v>370</c:v>
                </c:pt>
              </c:numCache>
            </c:numRef>
          </c:val>
          <c:smooth val="0"/>
          <c:extLst>
            <c:ext xmlns:c16="http://schemas.microsoft.com/office/drawing/2014/chart" uri="{C3380CC4-5D6E-409C-BE32-E72D297353CC}">
              <c16:uniqueId val="{00000000-F55F-459D-8FB4-996566AF3205}"/>
            </c:ext>
          </c:extLst>
        </c:ser>
        <c:ser>
          <c:idx val="1"/>
          <c:order val="1"/>
          <c:tx>
            <c:strRef>
              <c:f>Sheet7!$C$1</c:f>
              <c:strCache>
                <c:ptCount val="1"/>
                <c:pt idx="0">
                  <c:v>Happiness_Index</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Sheet7!$A$2:$A$9</c:f>
              <c:strCache>
                <c:ptCount val="7"/>
                <c:pt idx="0">
                  <c:v>16–20</c:v>
                </c:pt>
                <c:pt idx="1">
                  <c:v>21–25</c:v>
                </c:pt>
                <c:pt idx="2">
                  <c:v>26–30</c:v>
                </c:pt>
                <c:pt idx="3">
                  <c:v>31-35</c:v>
                </c:pt>
                <c:pt idx="4">
                  <c:v>36-40</c:v>
                </c:pt>
                <c:pt idx="5">
                  <c:v>41-45</c:v>
                </c:pt>
                <c:pt idx="6">
                  <c:v>46+</c:v>
                </c:pt>
              </c:strCache>
            </c:strRef>
          </c:cat>
          <c:val>
            <c:numRef>
              <c:f>Sheet7!$C$2:$C$9</c:f>
              <c:numCache>
                <c:formatCode>General</c:formatCode>
                <c:ptCount val="7"/>
                <c:pt idx="0">
                  <c:v>633</c:v>
                </c:pt>
                <c:pt idx="1">
                  <c:v>540</c:v>
                </c:pt>
                <c:pt idx="2">
                  <c:v>532</c:v>
                </c:pt>
                <c:pt idx="3">
                  <c:v>570</c:v>
                </c:pt>
                <c:pt idx="4">
                  <c:v>703</c:v>
                </c:pt>
                <c:pt idx="5">
                  <c:v>694</c:v>
                </c:pt>
                <c:pt idx="6">
                  <c:v>516</c:v>
                </c:pt>
              </c:numCache>
            </c:numRef>
          </c:val>
          <c:smooth val="0"/>
          <c:extLst>
            <c:ext xmlns:c16="http://schemas.microsoft.com/office/drawing/2014/chart" uri="{C3380CC4-5D6E-409C-BE32-E72D297353CC}">
              <c16:uniqueId val="{00000001-F55F-459D-8FB4-996566AF3205}"/>
            </c:ext>
          </c:extLst>
        </c:ser>
        <c:ser>
          <c:idx val="2"/>
          <c:order val="2"/>
          <c:tx>
            <c:strRef>
              <c:f>Sheet7!$D$1</c:f>
              <c:strCache>
                <c:ptCount val="1"/>
                <c:pt idx="0">
                  <c:v>Stress_Level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Sheet7!$A$2:$A$9</c:f>
              <c:strCache>
                <c:ptCount val="7"/>
                <c:pt idx="0">
                  <c:v>16–20</c:v>
                </c:pt>
                <c:pt idx="1">
                  <c:v>21–25</c:v>
                </c:pt>
                <c:pt idx="2">
                  <c:v>26–30</c:v>
                </c:pt>
                <c:pt idx="3">
                  <c:v>31-35</c:v>
                </c:pt>
                <c:pt idx="4">
                  <c:v>36-40</c:v>
                </c:pt>
                <c:pt idx="5">
                  <c:v>41-45</c:v>
                </c:pt>
                <c:pt idx="6">
                  <c:v>46+</c:v>
                </c:pt>
              </c:strCache>
            </c:strRef>
          </c:cat>
          <c:val>
            <c:numRef>
              <c:f>Sheet7!$D$2:$D$9</c:f>
              <c:numCache>
                <c:formatCode>General</c:formatCode>
                <c:ptCount val="7"/>
                <c:pt idx="0">
                  <c:v>484</c:v>
                </c:pt>
                <c:pt idx="1">
                  <c:v>430</c:v>
                </c:pt>
                <c:pt idx="2">
                  <c:v>438</c:v>
                </c:pt>
                <c:pt idx="3">
                  <c:v>470</c:v>
                </c:pt>
                <c:pt idx="4">
                  <c:v>548</c:v>
                </c:pt>
                <c:pt idx="5">
                  <c:v>525</c:v>
                </c:pt>
                <c:pt idx="6">
                  <c:v>414</c:v>
                </c:pt>
              </c:numCache>
            </c:numRef>
          </c:val>
          <c:smooth val="0"/>
          <c:extLst>
            <c:ext xmlns:c16="http://schemas.microsoft.com/office/drawing/2014/chart" uri="{C3380CC4-5D6E-409C-BE32-E72D297353CC}">
              <c16:uniqueId val="{00000002-F55F-459D-8FB4-996566AF3205}"/>
            </c:ext>
          </c:extLst>
        </c:ser>
        <c:dLbls>
          <c:showLegendKey val="0"/>
          <c:showVal val="0"/>
          <c:showCatName val="0"/>
          <c:showSerName val="0"/>
          <c:showPercent val="0"/>
          <c:showBubbleSize val="0"/>
        </c:dLbls>
        <c:marker val="1"/>
        <c:smooth val="0"/>
        <c:axId val="1718769951"/>
        <c:axId val="1718766111"/>
      </c:lineChart>
      <c:catAx>
        <c:axId val="1718769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766111"/>
        <c:crosses val="autoZero"/>
        <c:auto val="1"/>
        <c:lblAlgn val="ctr"/>
        <c:lblOffset val="100"/>
        <c:noMultiLvlLbl val="0"/>
      </c:catAx>
      <c:valAx>
        <c:axId val="171876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76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Degital Impact Across Different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Sheet7!$B$1</c:f>
              <c:strCache>
                <c:ptCount val="1"/>
                <c:pt idx="0">
                  <c:v> Sleep_Quality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Sheet7!$A$2:$A$9</c:f>
              <c:strCache>
                <c:ptCount val="7"/>
                <c:pt idx="0">
                  <c:v>16–20</c:v>
                </c:pt>
                <c:pt idx="1">
                  <c:v>21–25</c:v>
                </c:pt>
                <c:pt idx="2">
                  <c:v>26–30</c:v>
                </c:pt>
                <c:pt idx="3">
                  <c:v>31-35</c:v>
                </c:pt>
                <c:pt idx="4">
                  <c:v>36-40</c:v>
                </c:pt>
                <c:pt idx="5">
                  <c:v>41-45</c:v>
                </c:pt>
                <c:pt idx="6">
                  <c:v>46+</c:v>
                </c:pt>
              </c:strCache>
            </c:strRef>
          </c:cat>
          <c:val>
            <c:numRef>
              <c:f>Sheet7!$B$2:$B$9</c:f>
              <c:numCache>
                <c:formatCode>General</c:formatCode>
                <c:ptCount val="7"/>
                <c:pt idx="0">
                  <c:v>488</c:v>
                </c:pt>
                <c:pt idx="1">
                  <c:v>420</c:v>
                </c:pt>
                <c:pt idx="2">
                  <c:v>397</c:v>
                </c:pt>
                <c:pt idx="3">
                  <c:v>423</c:v>
                </c:pt>
                <c:pt idx="4">
                  <c:v>520</c:v>
                </c:pt>
                <c:pt idx="5">
                  <c:v>534</c:v>
                </c:pt>
                <c:pt idx="6">
                  <c:v>370</c:v>
                </c:pt>
              </c:numCache>
            </c:numRef>
          </c:val>
          <c:smooth val="0"/>
          <c:extLst>
            <c:ext xmlns:c16="http://schemas.microsoft.com/office/drawing/2014/chart" uri="{C3380CC4-5D6E-409C-BE32-E72D297353CC}">
              <c16:uniqueId val="{00000005-8896-49B1-8DE7-5C0650A7E895}"/>
            </c:ext>
          </c:extLst>
        </c:ser>
        <c:ser>
          <c:idx val="1"/>
          <c:order val="1"/>
          <c:tx>
            <c:strRef>
              <c:f>Sheet7!$C$1</c:f>
              <c:strCache>
                <c:ptCount val="1"/>
                <c:pt idx="0">
                  <c:v>Happiness_Index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Sheet7!$A$2:$A$9</c:f>
              <c:strCache>
                <c:ptCount val="7"/>
                <c:pt idx="0">
                  <c:v>16–20</c:v>
                </c:pt>
                <c:pt idx="1">
                  <c:v>21–25</c:v>
                </c:pt>
                <c:pt idx="2">
                  <c:v>26–30</c:v>
                </c:pt>
                <c:pt idx="3">
                  <c:v>31-35</c:v>
                </c:pt>
                <c:pt idx="4">
                  <c:v>36-40</c:v>
                </c:pt>
                <c:pt idx="5">
                  <c:v>41-45</c:v>
                </c:pt>
                <c:pt idx="6">
                  <c:v>46+</c:v>
                </c:pt>
              </c:strCache>
            </c:strRef>
          </c:cat>
          <c:val>
            <c:numRef>
              <c:f>Sheet7!$C$2:$C$9</c:f>
              <c:numCache>
                <c:formatCode>General</c:formatCode>
                <c:ptCount val="7"/>
                <c:pt idx="0">
                  <c:v>633</c:v>
                </c:pt>
                <c:pt idx="1">
                  <c:v>540</c:v>
                </c:pt>
                <c:pt idx="2">
                  <c:v>532</c:v>
                </c:pt>
                <c:pt idx="3">
                  <c:v>570</c:v>
                </c:pt>
                <c:pt idx="4">
                  <c:v>703</c:v>
                </c:pt>
                <c:pt idx="5">
                  <c:v>694</c:v>
                </c:pt>
                <c:pt idx="6">
                  <c:v>516</c:v>
                </c:pt>
              </c:numCache>
            </c:numRef>
          </c:val>
          <c:smooth val="0"/>
          <c:extLst>
            <c:ext xmlns:c16="http://schemas.microsoft.com/office/drawing/2014/chart" uri="{C3380CC4-5D6E-409C-BE32-E72D297353CC}">
              <c16:uniqueId val="{00000006-8896-49B1-8DE7-5C0650A7E895}"/>
            </c:ext>
          </c:extLst>
        </c:ser>
        <c:ser>
          <c:idx val="2"/>
          <c:order val="2"/>
          <c:tx>
            <c:strRef>
              <c:f>Sheet7!$D$1</c:f>
              <c:strCache>
                <c:ptCount val="1"/>
                <c:pt idx="0">
                  <c:v>Stress_Level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Sheet7!$A$2:$A$9</c:f>
              <c:strCache>
                <c:ptCount val="7"/>
                <c:pt idx="0">
                  <c:v>16–20</c:v>
                </c:pt>
                <c:pt idx="1">
                  <c:v>21–25</c:v>
                </c:pt>
                <c:pt idx="2">
                  <c:v>26–30</c:v>
                </c:pt>
                <c:pt idx="3">
                  <c:v>31-35</c:v>
                </c:pt>
                <c:pt idx="4">
                  <c:v>36-40</c:v>
                </c:pt>
                <c:pt idx="5">
                  <c:v>41-45</c:v>
                </c:pt>
                <c:pt idx="6">
                  <c:v>46+</c:v>
                </c:pt>
              </c:strCache>
            </c:strRef>
          </c:cat>
          <c:val>
            <c:numRef>
              <c:f>Sheet7!$D$2:$D$9</c:f>
              <c:numCache>
                <c:formatCode>General</c:formatCode>
                <c:ptCount val="7"/>
                <c:pt idx="0">
                  <c:v>484</c:v>
                </c:pt>
                <c:pt idx="1">
                  <c:v>430</c:v>
                </c:pt>
                <c:pt idx="2">
                  <c:v>438</c:v>
                </c:pt>
                <c:pt idx="3">
                  <c:v>470</c:v>
                </c:pt>
                <c:pt idx="4">
                  <c:v>548</c:v>
                </c:pt>
                <c:pt idx="5">
                  <c:v>525</c:v>
                </c:pt>
                <c:pt idx="6">
                  <c:v>414</c:v>
                </c:pt>
              </c:numCache>
            </c:numRef>
          </c:val>
          <c:smooth val="0"/>
          <c:extLst>
            <c:ext xmlns:c16="http://schemas.microsoft.com/office/drawing/2014/chart" uri="{C3380CC4-5D6E-409C-BE32-E72D297353CC}">
              <c16:uniqueId val="{00000007-8896-49B1-8DE7-5C0650A7E895}"/>
            </c:ext>
          </c:extLst>
        </c:ser>
        <c:dLbls>
          <c:showLegendKey val="0"/>
          <c:showVal val="0"/>
          <c:showCatName val="0"/>
          <c:showSerName val="0"/>
          <c:showPercent val="0"/>
          <c:showBubbleSize val="0"/>
        </c:dLbls>
        <c:marker val="1"/>
        <c:smooth val="0"/>
        <c:axId val="1718769951"/>
        <c:axId val="1718766111"/>
      </c:lineChart>
      <c:catAx>
        <c:axId val="171876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766111"/>
        <c:crosses val="autoZero"/>
        <c:auto val="1"/>
        <c:lblAlgn val="ctr"/>
        <c:lblOffset val="100"/>
        <c:noMultiLvlLbl val="0"/>
      </c:catAx>
      <c:valAx>
        <c:axId val="171876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76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Degital Impact</a:t>
            </a:r>
            <a:r>
              <a:rPr lang="en-GB" b="1" baseline="0"/>
              <a:t> Across Different Age Range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1B58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5"/>
          <c:spPr>
            <a:solidFill>
              <a:srgbClr val="1B587C"/>
            </a:solidFill>
            <a:ln w="9525">
              <a:solidFill>
                <a:schemeClr val="accent1"/>
              </a:solidFill>
            </a:ln>
            <a:effectLst/>
          </c:spPr>
        </c:marker>
      </c:pivotFmt>
      <c:pivotFmt>
        <c:idx val="4"/>
        <c:marker>
          <c:symbol val="circle"/>
          <c:size val="5"/>
          <c:spPr>
            <a:solidFill>
              <a:srgbClr val="1B587C"/>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Sheet1!$B$10</c:f>
              <c:strCache>
                <c:ptCount val="1"/>
                <c:pt idx="0">
                  <c:v>Sum of Sleep_Quality(1-10)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Sheet1!$A$11:$A$45</c:f>
              <c:strCache>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Cache>
            </c:strRef>
          </c:cat>
          <c:val>
            <c:numRef>
              <c:f>Sheet1!$B$11:$B$45</c:f>
              <c:numCache>
                <c:formatCode>General</c:formatCode>
                <c:ptCount val="34"/>
                <c:pt idx="0">
                  <c:v>119</c:v>
                </c:pt>
                <c:pt idx="1">
                  <c:v>110</c:v>
                </c:pt>
                <c:pt idx="2">
                  <c:v>105</c:v>
                </c:pt>
                <c:pt idx="3">
                  <c:v>67</c:v>
                </c:pt>
                <c:pt idx="4">
                  <c:v>87</c:v>
                </c:pt>
                <c:pt idx="5">
                  <c:v>75</c:v>
                </c:pt>
                <c:pt idx="6">
                  <c:v>74</c:v>
                </c:pt>
                <c:pt idx="7">
                  <c:v>128</c:v>
                </c:pt>
                <c:pt idx="8">
                  <c:v>90</c:v>
                </c:pt>
                <c:pt idx="9">
                  <c:v>53</c:v>
                </c:pt>
                <c:pt idx="10">
                  <c:v>69</c:v>
                </c:pt>
                <c:pt idx="11">
                  <c:v>113</c:v>
                </c:pt>
                <c:pt idx="12">
                  <c:v>68</c:v>
                </c:pt>
                <c:pt idx="13">
                  <c:v>78</c:v>
                </c:pt>
                <c:pt idx="14">
                  <c:v>69</c:v>
                </c:pt>
                <c:pt idx="15">
                  <c:v>122</c:v>
                </c:pt>
                <c:pt idx="16">
                  <c:v>69</c:v>
                </c:pt>
                <c:pt idx="17">
                  <c:v>57</c:v>
                </c:pt>
                <c:pt idx="18">
                  <c:v>103</c:v>
                </c:pt>
                <c:pt idx="19">
                  <c:v>72</c:v>
                </c:pt>
                <c:pt idx="20">
                  <c:v>76</c:v>
                </c:pt>
                <c:pt idx="21">
                  <c:v>107</c:v>
                </c:pt>
                <c:pt idx="22">
                  <c:v>115</c:v>
                </c:pt>
                <c:pt idx="23">
                  <c:v>123</c:v>
                </c:pt>
                <c:pt idx="24">
                  <c:v>99</c:v>
                </c:pt>
                <c:pt idx="25">
                  <c:v>131</c:v>
                </c:pt>
                <c:pt idx="26">
                  <c:v>61</c:v>
                </c:pt>
                <c:pt idx="27">
                  <c:v>151</c:v>
                </c:pt>
                <c:pt idx="28">
                  <c:v>108</c:v>
                </c:pt>
                <c:pt idx="29">
                  <c:v>83</c:v>
                </c:pt>
                <c:pt idx="30">
                  <c:v>62</c:v>
                </c:pt>
                <c:pt idx="31">
                  <c:v>132</c:v>
                </c:pt>
                <c:pt idx="32">
                  <c:v>129</c:v>
                </c:pt>
                <c:pt idx="33">
                  <c:v>47</c:v>
                </c:pt>
              </c:numCache>
            </c:numRef>
          </c:val>
          <c:smooth val="0"/>
          <c:extLst>
            <c:ext xmlns:c16="http://schemas.microsoft.com/office/drawing/2014/chart" uri="{C3380CC4-5D6E-409C-BE32-E72D297353CC}">
              <c16:uniqueId val="{00000002-9C7D-4538-8353-88AA0A526BAE}"/>
            </c:ext>
          </c:extLst>
        </c:ser>
        <c:ser>
          <c:idx val="1"/>
          <c:order val="1"/>
          <c:tx>
            <c:strRef>
              <c:f>Sheet1!$C$10</c:f>
              <c:strCache>
                <c:ptCount val="1"/>
                <c:pt idx="0">
                  <c:v>Sum of Happiness_Index(1-10)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Sheet1!$A$11:$A$45</c:f>
              <c:strCache>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Cache>
            </c:strRef>
          </c:cat>
          <c:val>
            <c:numRef>
              <c:f>Sheet1!$C$11:$C$45</c:f>
              <c:numCache>
                <c:formatCode>General</c:formatCode>
                <c:ptCount val="34"/>
                <c:pt idx="0">
                  <c:v>152</c:v>
                </c:pt>
                <c:pt idx="1">
                  <c:v>136</c:v>
                </c:pt>
                <c:pt idx="2">
                  <c:v>136</c:v>
                </c:pt>
                <c:pt idx="3">
                  <c:v>99</c:v>
                </c:pt>
                <c:pt idx="4">
                  <c:v>110</c:v>
                </c:pt>
                <c:pt idx="5">
                  <c:v>97</c:v>
                </c:pt>
                <c:pt idx="6">
                  <c:v>103</c:v>
                </c:pt>
                <c:pt idx="7">
                  <c:v>157</c:v>
                </c:pt>
                <c:pt idx="8">
                  <c:v>110</c:v>
                </c:pt>
                <c:pt idx="9">
                  <c:v>73</c:v>
                </c:pt>
                <c:pt idx="10">
                  <c:v>97</c:v>
                </c:pt>
                <c:pt idx="11">
                  <c:v>154</c:v>
                </c:pt>
                <c:pt idx="12">
                  <c:v>87</c:v>
                </c:pt>
                <c:pt idx="13">
                  <c:v>104</c:v>
                </c:pt>
                <c:pt idx="14">
                  <c:v>90</c:v>
                </c:pt>
                <c:pt idx="15">
                  <c:v>159</c:v>
                </c:pt>
                <c:pt idx="16">
                  <c:v>93</c:v>
                </c:pt>
                <c:pt idx="17">
                  <c:v>77</c:v>
                </c:pt>
                <c:pt idx="18">
                  <c:v>143</c:v>
                </c:pt>
                <c:pt idx="19">
                  <c:v>98</c:v>
                </c:pt>
                <c:pt idx="20">
                  <c:v>99</c:v>
                </c:pt>
                <c:pt idx="21">
                  <c:v>139</c:v>
                </c:pt>
                <c:pt idx="22">
                  <c:v>153</c:v>
                </c:pt>
                <c:pt idx="23">
                  <c:v>168</c:v>
                </c:pt>
                <c:pt idx="24">
                  <c:v>144</c:v>
                </c:pt>
                <c:pt idx="25">
                  <c:v>172</c:v>
                </c:pt>
                <c:pt idx="26">
                  <c:v>85</c:v>
                </c:pt>
                <c:pt idx="27">
                  <c:v>199</c:v>
                </c:pt>
                <c:pt idx="28">
                  <c:v>142</c:v>
                </c:pt>
                <c:pt idx="29">
                  <c:v>96</c:v>
                </c:pt>
                <c:pt idx="30">
                  <c:v>78</c:v>
                </c:pt>
                <c:pt idx="31">
                  <c:v>188</c:v>
                </c:pt>
                <c:pt idx="32">
                  <c:v>182</c:v>
                </c:pt>
                <c:pt idx="33">
                  <c:v>68</c:v>
                </c:pt>
              </c:numCache>
            </c:numRef>
          </c:val>
          <c:smooth val="0"/>
          <c:extLst>
            <c:ext xmlns:c16="http://schemas.microsoft.com/office/drawing/2014/chart" uri="{C3380CC4-5D6E-409C-BE32-E72D297353CC}">
              <c16:uniqueId val="{00000003-9C7D-4538-8353-88AA0A526BAE}"/>
            </c:ext>
          </c:extLst>
        </c:ser>
        <c:ser>
          <c:idx val="2"/>
          <c:order val="2"/>
          <c:tx>
            <c:strRef>
              <c:f>Sheet1!$D$10</c:f>
              <c:strCache>
                <c:ptCount val="1"/>
                <c:pt idx="0">
                  <c:v>Sum of Stress_Level(1-10)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Sheet1!$A$11:$A$45</c:f>
              <c:strCache>
                <c:ptCount val="34"/>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strCache>
            </c:strRef>
          </c:cat>
          <c:val>
            <c:numRef>
              <c:f>Sheet1!$D$11:$D$45</c:f>
              <c:numCache>
                <c:formatCode>General</c:formatCode>
                <c:ptCount val="34"/>
                <c:pt idx="0">
                  <c:v>104</c:v>
                </c:pt>
                <c:pt idx="1">
                  <c:v>118</c:v>
                </c:pt>
                <c:pt idx="2">
                  <c:v>101</c:v>
                </c:pt>
                <c:pt idx="3">
                  <c:v>70</c:v>
                </c:pt>
                <c:pt idx="4">
                  <c:v>91</c:v>
                </c:pt>
                <c:pt idx="5">
                  <c:v>63</c:v>
                </c:pt>
                <c:pt idx="6">
                  <c:v>96</c:v>
                </c:pt>
                <c:pt idx="7">
                  <c:v>109</c:v>
                </c:pt>
                <c:pt idx="8">
                  <c:v>97</c:v>
                </c:pt>
                <c:pt idx="9">
                  <c:v>65</c:v>
                </c:pt>
                <c:pt idx="10">
                  <c:v>80</c:v>
                </c:pt>
                <c:pt idx="11">
                  <c:v>135</c:v>
                </c:pt>
                <c:pt idx="12">
                  <c:v>69</c:v>
                </c:pt>
                <c:pt idx="13">
                  <c:v>73</c:v>
                </c:pt>
                <c:pt idx="14">
                  <c:v>81</c:v>
                </c:pt>
                <c:pt idx="15">
                  <c:v>129</c:v>
                </c:pt>
                <c:pt idx="16">
                  <c:v>83</c:v>
                </c:pt>
                <c:pt idx="17">
                  <c:v>74</c:v>
                </c:pt>
                <c:pt idx="18">
                  <c:v>95</c:v>
                </c:pt>
                <c:pt idx="19">
                  <c:v>89</c:v>
                </c:pt>
                <c:pt idx="20">
                  <c:v>82</c:v>
                </c:pt>
                <c:pt idx="21">
                  <c:v>94</c:v>
                </c:pt>
                <c:pt idx="22">
                  <c:v>118</c:v>
                </c:pt>
                <c:pt idx="23">
                  <c:v>125</c:v>
                </c:pt>
                <c:pt idx="24">
                  <c:v>129</c:v>
                </c:pt>
                <c:pt idx="25">
                  <c:v>131</c:v>
                </c:pt>
                <c:pt idx="26">
                  <c:v>76</c:v>
                </c:pt>
                <c:pt idx="27">
                  <c:v>134</c:v>
                </c:pt>
                <c:pt idx="28">
                  <c:v>101</c:v>
                </c:pt>
                <c:pt idx="29">
                  <c:v>83</c:v>
                </c:pt>
                <c:pt idx="30">
                  <c:v>73</c:v>
                </c:pt>
                <c:pt idx="31">
                  <c:v>128</c:v>
                </c:pt>
                <c:pt idx="32">
                  <c:v>159</c:v>
                </c:pt>
                <c:pt idx="33">
                  <c:v>54</c:v>
                </c:pt>
              </c:numCache>
            </c:numRef>
          </c:val>
          <c:smooth val="0"/>
          <c:extLst>
            <c:ext xmlns:c16="http://schemas.microsoft.com/office/drawing/2014/chart" uri="{C3380CC4-5D6E-409C-BE32-E72D297353CC}">
              <c16:uniqueId val="{00000004-9C7D-4538-8353-88AA0A526BAE}"/>
            </c:ext>
          </c:extLst>
        </c:ser>
        <c:dLbls>
          <c:showLegendKey val="0"/>
          <c:showVal val="0"/>
          <c:showCatName val="0"/>
          <c:showSerName val="0"/>
          <c:showPercent val="0"/>
          <c:showBubbleSize val="0"/>
        </c:dLbls>
        <c:marker val="1"/>
        <c:smooth val="0"/>
        <c:axId val="95919536"/>
        <c:axId val="95916656"/>
      </c:lineChart>
      <c:catAx>
        <c:axId val="9591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6656"/>
        <c:crosses val="autoZero"/>
        <c:auto val="1"/>
        <c:lblAlgn val="ctr"/>
        <c:lblOffset val="100"/>
        <c:noMultiLvlLbl val="0"/>
      </c:catAx>
      <c:valAx>
        <c:axId val="95916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[Wellbeing Insights Dashboards.xlsx]Sheet2!PivotTable9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Social Media Platforms with Higer and Lower Happiness Index</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Sheet2!$A$4:$A$10</c:f>
              <c:strCache>
                <c:ptCount val="6"/>
                <c:pt idx="0">
                  <c:v>Instagram</c:v>
                </c:pt>
                <c:pt idx="1">
                  <c:v>YouTube</c:v>
                </c:pt>
                <c:pt idx="2">
                  <c:v>Facebook</c:v>
                </c:pt>
                <c:pt idx="3">
                  <c:v>LinkedIn</c:v>
                </c:pt>
                <c:pt idx="4">
                  <c:v>X (Twitter)</c:v>
                </c:pt>
                <c:pt idx="5">
                  <c:v>TikTok</c:v>
                </c:pt>
              </c:strCache>
            </c:strRef>
          </c:cat>
          <c:val>
            <c:numRef>
              <c:f>Sheet2!$B$4:$B$10</c:f>
              <c:numCache>
                <c:formatCode>General</c:formatCode>
                <c:ptCount val="6"/>
                <c:pt idx="0">
                  <c:v>591</c:v>
                </c:pt>
                <c:pt idx="1">
                  <c:v>623</c:v>
                </c:pt>
                <c:pt idx="2">
                  <c:v>676</c:v>
                </c:pt>
                <c:pt idx="3">
                  <c:v>741</c:v>
                </c:pt>
                <c:pt idx="4">
                  <c:v>761</c:v>
                </c:pt>
                <c:pt idx="5">
                  <c:v>796</c:v>
                </c:pt>
              </c:numCache>
            </c:numRef>
          </c:val>
          <c:extLst>
            <c:ext xmlns:c16="http://schemas.microsoft.com/office/drawing/2014/chart" uri="{C3380CC4-5D6E-409C-BE32-E72D297353CC}">
              <c16:uniqueId val="{00000000-C8B9-45EF-BDFE-B34244726519}"/>
            </c:ext>
          </c:extLst>
        </c:ser>
        <c:dLbls>
          <c:showLegendKey val="0"/>
          <c:showVal val="0"/>
          <c:showCatName val="0"/>
          <c:showSerName val="0"/>
          <c:showPercent val="0"/>
          <c:showBubbleSize val="0"/>
        </c:dLbls>
        <c:gapWidth val="150"/>
        <c:shape val="box"/>
        <c:axId val="2118339632"/>
        <c:axId val="95914736"/>
        <c:axId val="0"/>
      </c:bar3DChart>
      <c:catAx>
        <c:axId val="21183396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914736"/>
        <c:crosses val="autoZero"/>
        <c:auto val="1"/>
        <c:lblAlgn val="ctr"/>
        <c:lblOffset val="100"/>
        <c:noMultiLvlLbl val="0"/>
      </c:catAx>
      <c:valAx>
        <c:axId val="9591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833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Dashboards.xlsx]Sheet3!PivotTable10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Impact</a:t>
            </a:r>
            <a:r>
              <a:rPr lang="en-GB" baseline="0"/>
              <a:t> of Social Media Breaks on Stress and Sleep Quality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6048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C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c:f>
              <c:strCache>
                <c:ptCount val="1"/>
                <c:pt idx="0">
                  <c:v>Sum of Stress Level</c:v>
                </c:pt>
              </c:strCache>
            </c:strRef>
          </c:tx>
          <c:spPr>
            <a:solidFill>
              <a:srgbClr val="604878"/>
            </a:solidFill>
            <a:ln>
              <a:noFill/>
            </a:ln>
            <a:effectLst/>
          </c:spPr>
          <c:invertIfNegative val="0"/>
          <c:cat>
            <c:strRef>
              <c:f>Sheet3!$A$3:$A$12</c:f>
              <c:strCache>
                <c:ptCount val="9"/>
                <c:pt idx="0">
                  <c:v>0</c:v>
                </c:pt>
                <c:pt idx="1">
                  <c:v>1</c:v>
                </c:pt>
                <c:pt idx="2">
                  <c:v>2</c:v>
                </c:pt>
                <c:pt idx="3">
                  <c:v>3</c:v>
                </c:pt>
                <c:pt idx="4">
                  <c:v>4</c:v>
                </c:pt>
                <c:pt idx="5">
                  <c:v>5</c:v>
                </c:pt>
                <c:pt idx="6">
                  <c:v>6</c:v>
                </c:pt>
                <c:pt idx="7">
                  <c:v>7</c:v>
                </c:pt>
                <c:pt idx="8">
                  <c:v>9</c:v>
                </c:pt>
              </c:strCache>
            </c:strRef>
          </c:cat>
          <c:val>
            <c:numRef>
              <c:f>Sheet3!$B$3:$B$12</c:f>
              <c:numCache>
                <c:formatCode>General</c:formatCode>
                <c:ptCount val="9"/>
                <c:pt idx="0">
                  <c:v>324</c:v>
                </c:pt>
                <c:pt idx="1">
                  <c:v>382</c:v>
                </c:pt>
                <c:pt idx="2">
                  <c:v>575</c:v>
                </c:pt>
                <c:pt idx="3">
                  <c:v>614</c:v>
                </c:pt>
                <c:pt idx="4">
                  <c:v>555</c:v>
                </c:pt>
                <c:pt idx="5">
                  <c:v>511</c:v>
                </c:pt>
                <c:pt idx="6">
                  <c:v>238</c:v>
                </c:pt>
                <c:pt idx="7">
                  <c:v>104</c:v>
                </c:pt>
                <c:pt idx="8">
                  <c:v>6</c:v>
                </c:pt>
              </c:numCache>
            </c:numRef>
          </c:val>
          <c:extLst>
            <c:ext xmlns:c16="http://schemas.microsoft.com/office/drawing/2014/chart" uri="{C3380CC4-5D6E-409C-BE32-E72D297353CC}">
              <c16:uniqueId val="{00000000-AB43-459E-8051-C34FC98268D3}"/>
            </c:ext>
          </c:extLst>
        </c:ser>
        <c:dLbls>
          <c:showLegendKey val="0"/>
          <c:showVal val="0"/>
          <c:showCatName val="0"/>
          <c:showSerName val="0"/>
          <c:showPercent val="0"/>
          <c:showBubbleSize val="0"/>
        </c:dLbls>
        <c:gapWidth val="150"/>
        <c:axId val="1678586887"/>
        <c:axId val="1678588935"/>
      </c:barChart>
      <c:lineChart>
        <c:grouping val="standard"/>
        <c:varyColors val="0"/>
        <c:ser>
          <c:idx val="1"/>
          <c:order val="1"/>
          <c:tx>
            <c:strRef>
              <c:f>Sheet3!$C$2</c:f>
              <c:strCache>
                <c:ptCount val="1"/>
                <c:pt idx="0">
                  <c:v>Sum of Sleep Quality</c:v>
                </c:pt>
              </c:strCache>
            </c:strRef>
          </c:tx>
          <c:spPr>
            <a:ln w="28575" cap="rnd">
              <a:solidFill>
                <a:srgbClr val="FFC000"/>
              </a:solidFill>
              <a:prstDash val="solid"/>
              <a:round/>
            </a:ln>
            <a:effectLst/>
          </c:spPr>
          <c:marker>
            <c:symbol val="none"/>
          </c:marker>
          <c:cat>
            <c:strRef>
              <c:f>Sheet3!$A$3:$A$12</c:f>
              <c:strCache>
                <c:ptCount val="9"/>
                <c:pt idx="0">
                  <c:v>0</c:v>
                </c:pt>
                <c:pt idx="1">
                  <c:v>1</c:v>
                </c:pt>
                <c:pt idx="2">
                  <c:v>2</c:v>
                </c:pt>
                <c:pt idx="3">
                  <c:v>3</c:v>
                </c:pt>
                <c:pt idx="4">
                  <c:v>4</c:v>
                </c:pt>
                <c:pt idx="5">
                  <c:v>5</c:v>
                </c:pt>
                <c:pt idx="6">
                  <c:v>6</c:v>
                </c:pt>
                <c:pt idx="7">
                  <c:v>7</c:v>
                </c:pt>
                <c:pt idx="8">
                  <c:v>9</c:v>
                </c:pt>
              </c:strCache>
            </c:strRef>
          </c:cat>
          <c:val>
            <c:numRef>
              <c:f>Sheet3!$C$3:$C$12</c:f>
              <c:numCache>
                <c:formatCode>General</c:formatCode>
                <c:ptCount val="9"/>
                <c:pt idx="0">
                  <c:v>302</c:v>
                </c:pt>
                <c:pt idx="1">
                  <c:v>363</c:v>
                </c:pt>
                <c:pt idx="2">
                  <c:v>521</c:v>
                </c:pt>
                <c:pt idx="3">
                  <c:v>575</c:v>
                </c:pt>
                <c:pt idx="4">
                  <c:v>565</c:v>
                </c:pt>
                <c:pt idx="5">
                  <c:v>506</c:v>
                </c:pt>
                <c:pt idx="6">
                  <c:v>232</c:v>
                </c:pt>
                <c:pt idx="7">
                  <c:v>84</c:v>
                </c:pt>
                <c:pt idx="8">
                  <c:v>4</c:v>
                </c:pt>
              </c:numCache>
            </c:numRef>
          </c:val>
          <c:smooth val="0"/>
          <c:extLst>
            <c:ext xmlns:c16="http://schemas.microsoft.com/office/drawing/2014/chart" uri="{C3380CC4-5D6E-409C-BE32-E72D297353CC}">
              <c16:uniqueId val="{00000002-AB43-459E-8051-C34FC98268D3}"/>
            </c:ext>
          </c:extLst>
        </c:ser>
        <c:dLbls>
          <c:showLegendKey val="0"/>
          <c:showVal val="0"/>
          <c:showCatName val="0"/>
          <c:showSerName val="0"/>
          <c:showPercent val="0"/>
          <c:showBubbleSize val="0"/>
        </c:dLbls>
        <c:marker val="1"/>
        <c:smooth val="0"/>
        <c:axId val="1678586887"/>
        <c:axId val="1678588935"/>
      </c:lineChart>
      <c:catAx>
        <c:axId val="1678586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588935"/>
        <c:crosses val="autoZero"/>
        <c:auto val="1"/>
        <c:lblAlgn val="ctr"/>
        <c:lblOffset val="100"/>
        <c:noMultiLvlLbl val="0"/>
      </c:catAx>
      <c:valAx>
        <c:axId val="1678588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586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Dashboards.xlsx]Sheet4!PivotTable11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Impact</a:t>
            </a:r>
            <a:r>
              <a:rPr lang="en-GB" baseline="0"/>
              <a:t> of Exercise on Stress Level Happiness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Sheet4!$B$2</c:f>
              <c:strCache>
                <c:ptCount val="1"/>
                <c:pt idx="0">
                  <c:v>Stress Level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Sheet4!$A$3:$A$11</c:f>
              <c:strCache>
                <c:ptCount val="8"/>
                <c:pt idx="0">
                  <c:v>0</c:v>
                </c:pt>
                <c:pt idx="1">
                  <c:v>1</c:v>
                </c:pt>
                <c:pt idx="2">
                  <c:v>2</c:v>
                </c:pt>
                <c:pt idx="3">
                  <c:v>3</c:v>
                </c:pt>
                <c:pt idx="4">
                  <c:v>4</c:v>
                </c:pt>
                <c:pt idx="5">
                  <c:v>5</c:v>
                </c:pt>
                <c:pt idx="6">
                  <c:v>6</c:v>
                </c:pt>
                <c:pt idx="7">
                  <c:v>7</c:v>
                </c:pt>
              </c:strCache>
            </c:strRef>
          </c:cat>
          <c:val>
            <c:numRef>
              <c:f>Sheet4!$B$3:$B$11</c:f>
              <c:numCache>
                <c:formatCode>General</c:formatCode>
                <c:ptCount val="8"/>
                <c:pt idx="0">
                  <c:v>268</c:v>
                </c:pt>
                <c:pt idx="1">
                  <c:v>605</c:v>
                </c:pt>
                <c:pt idx="2">
                  <c:v>898</c:v>
                </c:pt>
                <c:pt idx="3">
                  <c:v>784</c:v>
                </c:pt>
                <c:pt idx="4">
                  <c:v>489</c:v>
                </c:pt>
                <c:pt idx="5">
                  <c:v>231</c:v>
                </c:pt>
                <c:pt idx="6">
                  <c:v>22</c:v>
                </c:pt>
                <c:pt idx="7">
                  <c:v>12</c:v>
                </c:pt>
              </c:numCache>
            </c:numRef>
          </c:val>
          <c:extLst>
            <c:ext xmlns:c16="http://schemas.microsoft.com/office/drawing/2014/chart" uri="{C3380CC4-5D6E-409C-BE32-E72D297353CC}">
              <c16:uniqueId val="{00000000-B2FD-4C16-9358-6DE66F94EE08}"/>
            </c:ext>
          </c:extLst>
        </c:ser>
        <c:ser>
          <c:idx val="1"/>
          <c:order val="1"/>
          <c:tx>
            <c:strRef>
              <c:f>Sheet4!$C$2</c:f>
              <c:strCache>
                <c:ptCount val="1"/>
                <c:pt idx="0">
                  <c:v>Happiness Index</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Sheet4!$A$3:$A$11</c:f>
              <c:strCache>
                <c:ptCount val="8"/>
                <c:pt idx="0">
                  <c:v>0</c:v>
                </c:pt>
                <c:pt idx="1">
                  <c:v>1</c:v>
                </c:pt>
                <c:pt idx="2">
                  <c:v>2</c:v>
                </c:pt>
                <c:pt idx="3">
                  <c:v>3</c:v>
                </c:pt>
                <c:pt idx="4">
                  <c:v>4</c:v>
                </c:pt>
                <c:pt idx="5">
                  <c:v>5</c:v>
                </c:pt>
                <c:pt idx="6">
                  <c:v>6</c:v>
                </c:pt>
                <c:pt idx="7">
                  <c:v>7</c:v>
                </c:pt>
              </c:strCache>
            </c:strRef>
          </c:cat>
          <c:val>
            <c:numRef>
              <c:f>Sheet4!$C$3:$C$11</c:f>
              <c:numCache>
                <c:formatCode>General</c:formatCode>
                <c:ptCount val="8"/>
                <c:pt idx="0">
                  <c:v>367</c:v>
                </c:pt>
                <c:pt idx="1">
                  <c:v>767</c:v>
                </c:pt>
                <c:pt idx="2">
                  <c:v>1089</c:v>
                </c:pt>
                <c:pt idx="3">
                  <c:v>960</c:v>
                </c:pt>
                <c:pt idx="4">
                  <c:v>631</c:v>
                </c:pt>
                <c:pt idx="5">
                  <c:v>316</c:v>
                </c:pt>
                <c:pt idx="6">
                  <c:v>38</c:v>
                </c:pt>
                <c:pt idx="7">
                  <c:v>20</c:v>
                </c:pt>
              </c:numCache>
            </c:numRef>
          </c:val>
          <c:extLst>
            <c:ext xmlns:c16="http://schemas.microsoft.com/office/drawing/2014/chart" uri="{C3380CC4-5D6E-409C-BE32-E72D297353CC}">
              <c16:uniqueId val="{00000002-B2FD-4C16-9358-6DE66F94EE08}"/>
            </c:ext>
          </c:extLst>
        </c:ser>
        <c:dLbls>
          <c:showLegendKey val="0"/>
          <c:showVal val="0"/>
          <c:showCatName val="0"/>
          <c:showSerName val="0"/>
          <c:showPercent val="0"/>
          <c:showBubbleSize val="0"/>
        </c:dLbls>
        <c:gapWidth val="150"/>
        <c:shape val="box"/>
        <c:axId val="1596731911"/>
        <c:axId val="1596733959"/>
        <c:axId val="0"/>
      </c:bar3DChart>
      <c:catAx>
        <c:axId val="15967319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6733959"/>
        <c:crosses val="autoZero"/>
        <c:auto val="1"/>
        <c:lblAlgn val="ctr"/>
        <c:lblOffset val="100"/>
        <c:noMultiLvlLbl val="0"/>
      </c:catAx>
      <c:valAx>
        <c:axId val="1596733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6731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Dashboards.xlsx]Sheet5!PivotTable12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How Social Media Affects Mental Health Based on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c:f>
              <c:strCache>
                <c:ptCount val="1"/>
                <c:pt idx="0">
                  <c:v>Daily Screen Time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Sheet5!$A$3:$A$6</c:f>
              <c:strCache>
                <c:ptCount val="3"/>
                <c:pt idx="0">
                  <c:v>Female</c:v>
                </c:pt>
                <c:pt idx="1">
                  <c:v>Male</c:v>
                </c:pt>
                <c:pt idx="2">
                  <c:v>Other</c:v>
                </c:pt>
              </c:strCache>
            </c:strRef>
          </c:cat>
          <c:val>
            <c:numRef>
              <c:f>Sheet5!$B$3:$B$6</c:f>
              <c:numCache>
                <c:formatCode>General</c:formatCode>
                <c:ptCount val="3"/>
                <c:pt idx="0">
                  <c:v>1262.3000000000002</c:v>
                </c:pt>
                <c:pt idx="1">
                  <c:v>1386.2000000000005</c:v>
                </c:pt>
                <c:pt idx="2">
                  <c:v>116.49999999999999</c:v>
                </c:pt>
              </c:numCache>
            </c:numRef>
          </c:val>
          <c:extLst>
            <c:ext xmlns:c16="http://schemas.microsoft.com/office/drawing/2014/chart" uri="{C3380CC4-5D6E-409C-BE32-E72D297353CC}">
              <c16:uniqueId val="{00000000-A504-4B91-89D9-C3523EEDDE71}"/>
            </c:ext>
          </c:extLst>
        </c:ser>
        <c:ser>
          <c:idx val="1"/>
          <c:order val="1"/>
          <c:tx>
            <c:strRef>
              <c:f>Sheet5!$C$2</c:f>
              <c:strCache>
                <c:ptCount val="1"/>
                <c:pt idx="0">
                  <c:v>Stress Level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Sheet5!$A$3:$A$6</c:f>
              <c:strCache>
                <c:ptCount val="3"/>
                <c:pt idx="0">
                  <c:v>Female</c:v>
                </c:pt>
                <c:pt idx="1">
                  <c:v>Male</c:v>
                </c:pt>
                <c:pt idx="2">
                  <c:v>Other</c:v>
                </c:pt>
              </c:strCache>
            </c:strRef>
          </c:cat>
          <c:val>
            <c:numRef>
              <c:f>Sheet5!$C$3:$C$6</c:f>
              <c:numCache>
                <c:formatCode>General</c:formatCode>
                <c:ptCount val="3"/>
                <c:pt idx="0">
                  <c:v>1512</c:v>
                </c:pt>
                <c:pt idx="1">
                  <c:v>1645</c:v>
                </c:pt>
                <c:pt idx="2">
                  <c:v>152</c:v>
                </c:pt>
              </c:numCache>
            </c:numRef>
          </c:val>
          <c:extLst>
            <c:ext xmlns:c16="http://schemas.microsoft.com/office/drawing/2014/chart" uri="{C3380CC4-5D6E-409C-BE32-E72D297353CC}">
              <c16:uniqueId val="{00000002-A504-4B91-89D9-C3523EEDDE71}"/>
            </c:ext>
          </c:extLst>
        </c:ser>
        <c:dLbls>
          <c:showLegendKey val="0"/>
          <c:showVal val="0"/>
          <c:showCatName val="0"/>
          <c:showSerName val="0"/>
          <c:showPercent val="0"/>
          <c:showBubbleSize val="0"/>
        </c:dLbls>
        <c:gapWidth val="100"/>
        <c:axId val="1512915463"/>
        <c:axId val="1512918535"/>
      </c:barChart>
      <c:lineChart>
        <c:grouping val="standard"/>
        <c:varyColors val="0"/>
        <c:ser>
          <c:idx val="2"/>
          <c:order val="2"/>
          <c:tx>
            <c:strRef>
              <c:f>Sheet5!$D$2</c:f>
              <c:strCache>
                <c:ptCount val="1"/>
                <c:pt idx="0">
                  <c:v>Happiness_Index</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Sheet5!$A$3:$A$6</c:f>
              <c:strCache>
                <c:ptCount val="3"/>
                <c:pt idx="0">
                  <c:v>Female</c:v>
                </c:pt>
                <c:pt idx="1">
                  <c:v>Male</c:v>
                </c:pt>
                <c:pt idx="2">
                  <c:v>Other</c:v>
                </c:pt>
              </c:strCache>
            </c:strRef>
          </c:cat>
          <c:val>
            <c:numRef>
              <c:f>Sheet5!$D$3:$D$6</c:f>
              <c:numCache>
                <c:formatCode>General</c:formatCode>
                <c:ptCount val="3"/>
                <c:pt idx="0">
                  <c:v>1916</c:v>
                </c:pt>
                <c:pt idx="1">
                  <c:v>2070</c:v>
                </c:pt>
                <c:pt idx="2">
                  <c:v>202</c:v>
                </c:pt>
              </c:numCache>
            </c:numRef>
          </c:val>
          <c:smooth val="0"/>
          <c:extLst>
            <c:ext xmlns:c16="http://schemas.microsoft.com/office/drawing/2014/chart" uri="{C3380CC4-5D6E-409C-BE32-E72D297353CC}">
              <c16:uniqueId val="{00000004-A504-4B91-89D9-C3523EEDDE71}"/>
            </c:ext>
          </c:extLst>
        </c:ser>
        <c:dLbls>
          <c:showLegendKey val="0"/>
          <c:showVal val="0"/>
          <c:showCatName val="0"/>
          <c:showSerName val="0"/>
          <c:showPercent val="0"/>
          <c:showBubbleSize val="0"/>
        </c:dLbls>
        <c:marker val="1"/>
        <c:smooth val="0"/>
        <c:axId val="1512915463"/>
        <c:axId val="1512918535"/>
      </c:lineChart>
      <c:catAx>
        <c:axId val="1512915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918535"/>
        <c:crosses val="autoZero"/>
        <c:auto val="1"/>
        <c:lblAlgn val="ctr"/>
        <c:lblOffset val="100"/>
        <c:noMultiLvlLbl val="0"/>
      </c:catAx>
      <c:valAx>
        <c:axId val="1512918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915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[Wellbeing Insights Dashboards.xlsx]Sheet6!PivotTable13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Top</a:t>
            </a:r>
            <a:r>
              <a:rPr lang="en-GB" b="1" baseline="0"/>
              <a:t> 3 Social Media Platform with Highest Stress Level By Gender</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Sheet6!$B$2:$B$3</c:f>
              <c:strCache>
                <c:ptCount val="1"/>
                <c:pt idx="0">
                  <c:v>Facebook</c:v>
                </c:pt>
              </c:strCache>
            </c:strRef>
          </c:tx>
          <c:spPr>
            <a:solidFill>
              <a:schemeClr val="accent6"/>
            </a:solidFill>
            <a:ln>
              <a:noFill/>
            </a:ln>
            <a:effectLst/>
            <a:sp3d/>
          </c:spPr>
          <c:invertIfNegative val="0"/>
          <c:cat>
            <c:strRef>
              <c:f>Sheet6!$A$4:$A$7</c:f>
              <c:strCache>
                <c:ptCount val="3"/>
                <c:pt idx="0">
                  <c:v>Female</c:v>
                </c:pt>
                <c:pt idx="1">
                  <c:v>Male</c:v>
                </c:pt>
                <c:pt idx="2">
                  <c:v>Other</c:v>
                </c:pt>
              </c:strCache>
            </c:strRef>
          </c:cat>
          <c:val>
            <c:numRef>
              <c:f>Sheet6!$B$4:$B$7</c:f>
              <c:numCache>
                <c:formatCode>General</c:formatCode>
                <c:ptCount val="3"/>
                <c:pt idx="0">
                  <c:v>305</c:v>
                </c:pt>
                <c:pt idx="1">
                  <c:v>229</c:v>
                </c:pt>
                <c:pt idx="2">
                  <c:v>6</c:v>
                </c:pt>
              </c:numCache>
            </c:numRef>
          </c:val>
          <c:extLst>
            <c:ext xmlns:c16="http://schemas.microsoft.com/office/drawing/2014/chart" uri="{C3380CC4-5D6E-409C-BE32-E72D297353CC}">
              <c16:uniqueId val="{00000000-2A81-4F41-B8D9-C5701F43F4FC}"/>
            </c:ext>
          </c:extLst>
        </c:ser>
        <c:ser>
          <c:idx val="1"/>
          <c:order val="1"/>
          <c:tx>
            <c:strRef>
              <c:f>Sheet6!$C$2:$C$3</c:f>
              <c:strCache>
                <c:ptCount val="1"/>
                <c:pt idx="0">
                  <c:v>Instagram</c:v>
                </c:pt>
              </c:strCache>
            </c:strRef>
          </c:tx>
          <c:spPr>
            <a:solidFill>
              <a:schemeClr val="accent5"/>
            </a:solidFill>
            <a:ln>
              <a:noFill/>
            </a:ln>
            <a:effectLst/>
            <a:sp3d/>
          </c:spPr>
          <c:invertIfNegative val="0"/>
          <c:cat>
            <c:strRef>
              <c:f>Sheet6!$A$4:$A$7</c:f>
              <c:strCache>
                <c:ptCount val="3"/>
                <c:pt idx="0">
                  <c:v>Female</c:v>
                </c:pt>
                <c:pt idx="1">
                  <c:v>Male</c:v>
                </c:pt>
                <c:pt idx="2">
                  <c:v>Other</c:v>
                </c:pt>
              </c:strCache>
            </c:strRef>
          </c:cat>
          <c:val>
            <c:numRef>
              <c:f>Sheet6!$C$4:$C$7</c:f>
              <c:numCache>
                <c:formatCode>General</c:formatCode>
                <c:ptCount val="3"/>
                <c:pt idx="0">
                  <c:v>183</c:v>
                </c:pt>
                <c:pt idx="1">
                  <c:v>309</c:v>
                </c:pt>
                <c:pt idx="2">
                  <c:v>23</c:v>
                </c:pt>
              </c:numCache>
            </c:numRef>
          </c:val>
          <c:extLst>
            <c:ext xmlns:c16="http://schemas.microsoft.com/office/drawing/2014/chart" uri="{C3380CC4-5D6E-409C-BE32-E72D297353CC}">
              <c16:uniqueId val="{00000014-2A81-4F41-B8D9-C5701F43F4FC}"/>
            </c:ext>
          </c:extLst>
        </c:ser>
        <c:ser>
          <c:idx val="2"/>
          <c:order val="2"/>
          <c:tx>
            <c:strRef>
              <c:f>Sheet6!$D$2:$D$3</c:f>
              <c:strCache>
                <c:ptCount val="1"/>
                <c:pt idx="0">
                  <c:v>LinkedIn</c:v>
                </c:pt>
              </c:strCache>
            </c:strRef>
          </c:tx>
          <c:spPr>
            <a:solidFill>
              <a:schemeClr val="accent4"/>
            </a:solidFill>
            <a:ln>
              <a:noFill/>
            </a:ln>
            <a:effectLst/>
            <a:sp3d/>
          </c:spPr>
          <c:invertIfNegative val="0"/>
          <c:cat>
            <c:strRef>
              <c:f>Sheet6!$A$4:$A$7</c:f>
              <c:strCache>
                <c:ptCount val="3"/>
                <c:pt idx="0">
                  <c:v>Female</c:v>
                </c:pt>
                <c:pt idx="1">
                  <c:v>Male</c:v>
                </c:pt>
                <c:pt idx="2">
                  <c:v>Other</c:v>
                </c:pt>
              </c:strCache>
            </c:strRef>
          </c:cat>
          <c:val>
            <c:numRef>
              <c:f>Sheet6!$D$4:$D$7</c:f>
              <c:numCache>
                <c:formatCode>General</c:formatCode>
                <c:ptCount val="3"/>
                <c:pt idx="0">
                  <c:v>285</c:v>
                </c:pt>
                <c:pt idx="1">
                  <c:v>247</c:v>
                </c:pt>
                <c:pt idx="2">
                  <c:v>30</c:v>
                </c:pt>
              </c:numCache>
            </c:numRef>
          </c:val>
          <c:extLst>
            <c:ext xmlns:c16="http://schemas.microsoft.com/office/drawing/2014/chart" uri="{C3380CC4-5D6E-409C-BE32-E72D297353CC}">
              <c16:uniqueId val="{00000015-2A81-4F41-B8D9-C5701F43F4FC}"/>
            </c:ext>
          </c:extLst>
        </c:ser>
        <c:ser>
          <c:idx val="3"/>
          <c:order val="3"/>
          <c:tx>
            <c:strRef>
              <c:f>Sheet6!$E$2:$E$3</c:f>
              <c:strCache>
                <c:ptCount val="1"/>
                <c:pt idx="0">
                  <c:v>TikTok</c:v>
                </c:pt>
              </c:strCache>
            </c:strRef>
          </c:tx>
          <c:spPr>
            <a:solidFill>
              <a:schemeClr val="accent6">
                <a:lumMod val="60000"/>
              </a:schemeClr>
            </a:solidFill>
            <a:ln>
              <a:noFill/>
            </a:ln>
            <a:effectLst/>
            <a:sp3d/>
          </c:spPr>
          <c:invertIfNegative val="0"/>
          <c:cat>
            <c:strRef>
              <c:f>Sheet6!$A$4:$A$7</c:f>
              <c:strCache>
                <c:ptCount val="3"/>
                <c:pt idx="0">
                  <c:v>Female</c:v>
                </c:pt>
                <c:pt idx="1">
                  <c:v>Male</c:v>
                </c:pt>
                <c:pt idx="2">
                  <c:v>Other</c:v>
                </c:pt>
              </c:strCache>
            </c:strRef>
          </c:cat>
          <c:val>
            <c:numRef>
              <c:f>Sheet6!$E$4:$E$7</c:f>
              <c:numCache>
                <c:formatCode>General</c:formatCode>
                <c:ptCount val="3"/>
                <c:pt idx="0">
                  <c:v>287</c:v>
                </c:pt>
                <c:pt idx="1">
                  <c:v>317</c:v>
                </c:pt>
                <c:pt idx="2">
                  <c:v>22</c:v>
                </c:pt>
              </c:numCache>
            </c:numRef>
          </c:val>
          <c:extLst>
            <c:ext xmlns:c16="http://schemas.microsoft.com/office/drawing/2014/chart" uri="{C3380CC4-5D6E-409C-BE32-E72D297353CC}">
              <c16:uniqueId val="{00000016-2A81-4F41-B8D9-C5701F43F4FC}"/>
            </c:ext>
          </c:extLst>
        </c:ser>
        <c:ser>
          <c:idx val="4"/>
          <c:order val="4"/>
          <c:tx>
            <c:strRef>
              <c:f>Sheet6!$F$2:$F$3</c:f>
              <c:strCache>
                <c:ptCount val="1"/>
                <c:pt idx="0">
                  <c:v>X (Twitter)</c:v>
                </c:pt>
              </c:strCache>
            </c:strRef>
          </c:tx>
          <c:spPr>
            <a:solidFill>
              <a:schemeClr val="accent5">
                <a:lumMod val="60000"/>
              </a:schemeClr>
            </a:solidFill>
            <a:ln>
              <a:noFill/>
            </a:ln>
            <a:effectLst/>
            <a:sp3d/>
          </c:spPr>
          <c:invertIfNegative val="0"/>
          <c:cat>
            <c:strRef>
              <c:f>Sheet6!$A$4:$A$7</c:f>
              <c:strCache>
                <c:ptCount val="3"/>
                <c:pt idx="0">
                  <c:v>Female</c:v>
                </c:pt>
                <c:pt idx="1">
                  <c:v>Male</c:v>
                </c:pt>
                <c:pt idx="2">
                  <c:v>Other</c:v>
                </c:pt>
              </c:strCache>
            </c:strRef>
          </c:cat>
          <c:val>
            <c:numRef>
              <c:f>Sheet6!$F$4:$F$7</c:f>
              <c:numCache>
                <c:formatCode>General</c:formatCode>
                <c:ptCount val="3"/>
                <c:pt idx="0">
                  <c:v>237</c:v>
                </c:pt>
                <c:pt idx="1">
                  <c:v>298</c:v>
                </c:pt>
                <c:pt idx="2">
                  <c:v>33</c:v>
                </c:pt>
              </c:numCache>
            </c:numRef>
          </c:val>
          <c:extLst>
            <c:ext xmlns:c16="http://schemas.microsoft.com/office/drawing/2014/chart" uri="{C3380CC4-5D6E-409C-BE32-E72D297353CC}">
              <c16:uniqueId val="{00000017-2A81-4F41-B8D9-C5701F43F4FC}"/>
            </c:ext>
          </c:extLst>
        </c:ser>
        <c:ser>
          <c:idx val="5"/>
          <c:order val="5"/>
          <c:tx>
            <c:strRef>
              <c:f>Sheet6!$G$2:$G$3</c:f>
              <c:strCache>
                <c:ptCount val="1"/>
                <c:pt idx="0">
                  <c:v>YouTube</c:v>
                </c:pt>
              </c:strCache>
            </c:strRef>
          </c:tx>
          <c:spPr>
            <a:solidFill>
              <a:schemeClr val="accent4">
                <a:lumMod val="60000"/>
              </a:schemeClr>
            </a:solidFill>
            <a:ln>
              <a:noFill/>
            </a:ln>
            <a:effectLst/>
            <a:sp3d/>
          </c:spPr>
          <c:invertIfNegative val="0"/>
          <c:cat>
            <c:strRef>
              <c:f>Sheet6!$A$4:$A$7</c:f>
              <c:strCache>
                <c:ptCount val="3"/>
                <c:pt idx="0">
                  <c:v>Female</c:v>
                </c:pt>
                <c:pt idx="1">
                  <c:v>Male</c:v>
                </c:pt>
                <c:pt idx="2">
                  <c:v>Other</c:v>
                </c:pt>
              </c:strCache>
            </c:strRef>
          </c:cat>
          <c:val>
            <c:numRef>
              <c:f>Sheet6!$G$4:$G$7</c:f>
              <c:numCache>
                <c:formatCode>General</c:formatCode>
                <c:ptCount val="3"/>
                <c:pt idx="0">
                  <c:v>215</c:v>
                </c:pt>
                <c:pt idx="1">
                  <c:v>245</c:v>
                </c:pt>
                <c:pt idx="2">
                  <c:v>38</c:v>
                </c:pt>
              </c:numCache>
            </c:numRef>
          </c:val>
          <c:extLst>
            <c:ext xmlns:c16="http://schemas.microsoft.com/office/drawing/2014/chart" uri="{C3380CC4-5D6E-409C-BE32-E72D297353CC}">
              <c16:uniqueId val="{00000018-2A81-4F41-B8D9-C5701F43F4FC}"/>
            </c:ext>
          </c:extLst>
        </c:ser>
        <c:dLbls>
          <c:showLegendKey val="0"/>
          <c:showVal val="0"/>
          <c:showCatName val="0"/>
          <c:showSerName val="0"/>
          <c:showPercent val="0"/>
          <c:showBubbleSize val="0"/>
        </c:dLbls>
        <c:gapWidth val="150"/>
        <c:shape val="box"/>
        <c:axId val="364634127"/>
        <c:axId val="364627887"/>
        <c:axId val="2108001503"/>
      </c:bar3DChart>
      <c:catAx>
        <c:axId val="36463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27887"/>
        <c:crosses val="autoZero"/>
        <c:auto val="1"/>
        <c:lblAlgn val="ctr"/>
        <c:lblOffset val="100"/>
        <c:noMultiLvlLbl val="0"/>
      </c:catAx>
      <c:valAx>
        <c:axId val="364627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34127"/>
        <c:crosses val="autoZero"/>
        <c:crossBetween val="between"/>
      </c:valAx>
      <c:serAx>
        <c:axId val="2108001503"/>
        <c:scaling>
          <c:orientation val="minMax"/>
        </c:scaling>
        <c:delete val="1"/>
        <c:axPos val="b"/>
        <c:majorTickMark val="none"/>
        <c:minorTickMark val="none"/>
        <c:tickLblPos val="nextTo"/>
        <c:crossAx val="364627887"/>
        <c:crosses val="autoZero"/>
      </c:ser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absolute">
    <xdr:from>
      <xdr:col>6</xdr:col>
      <xdr:colOff>588889</xdr:colOff>
      <xdr:row>0</xdr:row>
      <xdr:rowOff>116666</xdr:rowOff>
    </xdr:from>
    <xdr:to>
      <xdr:col>11</xdr:col>
      <xdr:colOff>86508</xdr:colOff>
      <xdr:row>4</xdr:row>
      <xdr:rowOff>146983</xdr:rowOff>
    </xdr:to>
    <xdr:grpSp>
      <xdr:nvGrpSpPr>
        <xdr:cNvPr id="44" name="Group 43">
          <a:extLst>
            <a:ext uri="{FF2B5EF4-FFF2-40B4-BE49-F238E27FC236}">
              <a16:creationId xmlns:a16="http://schemas.microsoft.com/office/drawing/2014/main" id="{443F7667-9A76-221A-34B6-8D6BCB0CF7E2}"/>
            </a:ext>
          </a:extLst>
        </xdr:cNvPr>
        <xdr:cNvGrpSpPr/>
      </xdr:nvGrpSpPr>
      <xdr:grpSpPr>
        <a:xfrm>
          <a:off x="3749778" y="116666"/>
          <a:ext cx="2531508" cy="1272095"/>
          <a:chOff x="3743730" y="116666"/>
          <a:chExt cx="2521429" cy="1260000"/>
        </a:xfrm>
        <a:noFill/>
      </xdr:grpSpPr>
      <xdr:sp macro="" textlink="">
        <xdr:nvSpPr>
          <xdr:cNvPr id="9" name="Rectangle: Top Corners Rounded 8">
            <a:extLst>
              <a:ext uri="{FF2B5EF4-FFF2-40B4-BE49-F238E27FC236}">
                <a16:creationId xmlns:a16="http://schemas.microsoft.com/office/drawing/2014/main" id="{C3386E37-A972-8876-B7DD-E6C7A5FC2E8E}"/>
              </a:ext>
            </a:extLst>
          </xdr:cNvPr>
          <xdr:cNvSpPr/>
        </xdr:nvSpPr>
        <xdr:spPr>
          <a:xfrm rot="16200000">
            <a:off x="4283730"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ectangle: Top Corners Rounded 9">
            <a:extLst>
              <a:ext uri="{FF2B5EF4-FFF2-40B4-BE49-F238E27FC236}">
                <a16:creationId xmlns:a16="http://schemas.microsoft.com/office/drawing/2014/main" id="{793B88FF-D648-31C6-E7A5-A08FE663138F}"/>
              </a:ext>
            </a:extLst>
          </xdr:cNvPr>
          <xdr:cNvSpPr/>
        </xdr:nvSpPr>
        <xdr:spPr>
          <a:xfrm rot="5400000">
            <a:off x="4465159"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2" name="Straight Connector 11">
            <a:extLst>
              <a:ext uri="{FF2B5EF4-FFF2-40B4-BE49-F238E27FC236}">
                <a16:creationId xmlns:a16="http://schemas.microsoft.com/office/drawing/2014/main" id="{32784F46-8306-7B7D-1760-82B02F27A4C3}"/>
              </a:ext>
            </a:extLst>
          </xdr:cNvPr>
          <xdr:cNvCxnSpPr/>
        </xdr:nvCxnSpPr>
        <xdr:spPr>
          <a:xfrm>
            <a:off x="4505476" y="342697"/>
            <a:ext cx="0" cy="792000"/>
          </a:xfrm>
          <a:prstGeom prst="line">
            <a:avLst/>
          </a:prstGeom>
          <a:grpFill/>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11</xdr:col>
      <xdr:colOff>336903</xdr:colOff>
      <xdr:row>0</xdr:row>
      <xdr:rowOff>116666</xdr:rowOff>
    </xdr:from>
    <xdr:to>
      <xdr:col>15</xdr:col>
      <xdr:colOff>439285</xdr:colOff>
      <xdr:row>4</xdr:row>
      <xdr:rowOff>146983</xdr:rowOff>
    </xdr:to>
    <xdr:grpSp>
      <xdr:nvGrpSpPr>
        <xdr:cNvPr id="45" name="Group 44">
          <a:extLst>
            <a:ext uri="{FF2B5EF4-FFF2-40B4-BE49-F238E27FC236}">
              <a16:creationId xmlns:a16="http://schemas.microsoft.com/office/drawing/2014/main" id="{CAA6B816-E2AF-4D25-EEE6-CF2397F985A2}"/>
            </a:ext>
          </a:extLst>
        </xdr:cNvPr>
        <xdr:cNvGrpSpPr/>
      </xdr:nvGrpSpPr>
      <xdr:grpSpPr>
        <a:xfrm>
          <a:off x="6531681" y="116666"/>
          <a:ext cx="2529493" cy="1272095"/>
          <a:chOff x="3743730" y="116666"/>
          <a:chExt cx="2521429" cy="1260000"/>
        </a:xfrm>
        <a:noFill/>
      </xdr:grpSpPr>
      <xdr:sp macro="" textlink="">
        <xdr:nvSpPr>
          <xdr:cNvPr id="46" name="Rectangle: Top Corners Rounded 45">
            <a:extLst>
              <a:ext uri="{FF2B5EF4-FFF2-40B4-BE49-F238E27FC236}">
                <a16:creationId xmlns:a16="http://schemas.microsoft.com/office/drawing/2014/main" id="{745923B2-9BB0-9BA6-1A8F-D705DB7755AA}"/>
              </a:ext>
            </a:extLst>
          </xdr:cNvPr>
          <xdr:cNvSpPr/>
        </xdr:nvSpPr>
        <xdr:spPr>
          <a:xfrm rot="16200000">
            <a:off x="4283730"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7" name="Rectangle: Top Corners Rounded 46">
            <a:extLst>
              <a:ext uri="{FF2B5EF4-FFF2-40B4-BE49-F238E27FC236}">
                <a16:creationId xmlns:a16="http://schemas.microsoft.com/office/drawing/2014/main" id="{B99206C1-B7ED-F65D-B093-A4DB2F3534E3}"/>
              </a:ext>
            </a:extLst>
          </xdr:cNvPr>
          <xdr:cNvSpPr/>
        </xdr:nvSpPr>
        <xdr:spPr>
          <a:xfrm rot="5400000">
            <a:off x="4465159"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48" name="Straight Connector 47">
            <a:extLst>
              <a:ext uri="{FF2B5EF4-FFF2-40B4-BE49-F238E27FC236}">
                <a16:creationId xmlns:a16="http://schemas.microsoft.com/office/drawing/2014/main" id="{D253442C-0C08-95C2-3774-3873F8E1C87F}"/>
              </a:ext>
            </a:extLst>
          </xdr:cNvPr>
          <xdr:cNvCxnSpPr/>
        </xdr:nvCxnSpPr>
        <xdr:spPr>
          <a:xfrm>
            <a:off x="4505476" y="342697"/>
            <a:ext cx="0" cy="792000"/>
          </a:xfrm>
          <a:prstGeom prst="line">
            <a:avLst/>
          </a:prstGeom>
          <a:grpFill/>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16</xdr:col>
      <xdr:colOff>64761</xdr:colOff>
      <xdr:row>0</xdr:row>
      <xdr:rowOff>116666</xdr:rowOff>
    </xdr:from>
    <xdr:to>
      <xdr:col>20</xdr:col>
      <xdr:colOff>167142</xdr:colOff>
      <xdr:row>4</xdr:row>
      <xdr:rowOff>146983</xdr:rowOff>
    </xdr:to>
    <xdr:grpSp>
      <xdr:nvGrpSpPr>
        <xdr:cNvPr id="49" name="Group 48">
          <a:extLst>
            <a:ext uri="{FF2B5EF4-FFF2-40B4-BE49-F238E27FC236}">
              <a16:creationId xmlns:a16="http://schemas.microsoft.com/office/drawing/2014/main" id="{08F938AB-C9AA-C244-F607-CFBDA6F528E2}"/>
            </a:ext>
          </a:extLst>
        </xdr:cNvPr>
        <xdr:cNvGrpSpPr/>
      </xdr:nvGrpSpPr>
      <xdr:grpSpPr>
        <a:xfrm>
          <a:off x="9293428" y="116666"/>
          <a:ext cx="2529492" cy="1272095"/>
          <a:chOff x="3743730" y="116666"/>
          <a:chExt cx="2521429" cy="1260000"/>
        </a:xfrm>
        <a:noFill/>
      </xdr:grpSpPr>
      <xdr:sp macro="" textlink="">
        <xdr:nvSpPr>
          <xdr:cNvPr id="50" name="Rectangle: Top Corners Rounded 49">
            <a:extLst>
              <a:ext uri="{FF2B5EF4-FFF2-40B4-BE49-F238E27FC236}">
                <a16:creationId xmlns:a16="http://schemas.microsoft.com/office/drawing/2014/main" id="{1A06A608-6360-845C-F1FC-B77E5FFB1BD3}"/>
              </a:ext>
            </a:extLst>
          </xdr:cNvPr>
          <xdr:cNvSpPr/>
        </xdr:nvSpPr>
        <xdr:spPr>
          <a:xfrm rot="16200000">
            <a:off x="4283730"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1" name="Rectangle: Top Corners Rounded 50">
            <a:extLst>
              <a:ext uri="{FF2B5EF4-FFF2-40B4-BE49-F238E27FC236}">
                <a16:creationId xmlns:a16="http://schemas.microsoft.com/office/drawing/2014/main" id="{299795E0-9C7E-111A-9671-A495CB6C9812}"/>
              </a:ext>
            </a:extLst>
          </xdr:cNvPr>
          <xdr:cNvSpPr/>
        </xdr:nvSpPr>
        <xdr:spPr>
          <a:xfrm rot="5400000">
            <a:off x="4465159"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52" name="Straight Connector 51">
            <a:extLst>
              <a:ext uri="{FF2B5EF4-FFF2-40B4-BE49-F238E27FC236}">
                <a16:creationId xmlns:a16="http://schemas.microsoft.com/office/drawing/2014/main" id="{0DE18075-5DF9-9DD8-BD56-58C70E273AC3}"/>
              </a:ext>
            </a:extLst>
          </xdr:cNvPr>
          <xdr:cNvCxnSpPr/>
        </xdr:nvCxnSpPr>
        <xdr:spPr>
          <a:xfrm>
            <a:off x="4505476" y="342697"/>
            <a:ext cx="0" cy="792000"/>
          </a:xfrm>
          <a:prstGeom prst="line">
            <a:avLst/>
          </a:prstGeom>
          <a:grpFill/>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20</xdr:col>
      <xdr:colOff>437698</xdr:colOff>
      <xdr:row>0</xdr:row>
      <xdr:rowOff>116666</xdr:rowOff>
    </xdr:from>
    <xdr:to>
      <xdr:col>24</xdr:col>
      <xdr:colOff>540079</xdr:colOff>
      <xdr:row>4</xdr:row>
      <xdr:rowOff>146983</xdr:rowOff>
    </xdr:to>
    <xdr:grpSp>
      <xdr:nvGrpSpPr>
        <xdr:cNvPr id="53" name="Group 52">
          <a:extLst>
            <a:ext uri="{FF2B5EF4-FFF2-40B4-BE49-F238E27FC236}">
              <a16:creationId xmlns:a16="http://schemas.microsoft.com/office/drawing/2014/main" id="{F1E09A25-B083-C870-AE62-9500453EE70F}"/>
            </a:ext>
          </a:extLst>
        </xdr:cNvPr>
        <xdr:cNvGrpSpPr/>
      </xdr:nvGrpSpPr>
      <xdr:grpSpPr>
        <a:xfrm>
          <a:off x="12093476" y="116666"/>
          <a:ext cx="2529492" cy="1272095"/>
          <a:chOff x="3743730" y="116666"/>
          <a:chExt cx="2521429" cy="1260000"/>
        </a:xfrm>
        <a:noFill/>
      </xdr:grpSpPr>
      <xdr:sp macro="" textlink="">
        <xdr:nvSpPr>
          <xdr:cNvPr id="54" name="Rectangle: Top Corners Rounded 53">
            <a:extLst>
              <a:ext uri="{FF2B5EF4-FFF2-40B4-BE49-F238E27FC236}">
                <a16:creationId xmlns:a16="http://schemas.microsoft.com/office/drawing/2014/main" id="{F8D1197A-B30D-2CB9-A92F-399A7C179942}"/>
              </a:ext>
            </a:extLst>
          </xdr:cNvPr>
          <xdr:cNvSpPr/>
        </xdr:nvSpPr>
        <xdr:spPr>
          <a:xfrm rot="16200000">
            <a:off x="4283730"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5" name="Rectangle: Top Corners Rounded 54">
            <a:extLst>
              <a:ext uri="{FF2B5EF4-FFF2-40B4-BE49-F238E27FC236}">
                <a16:creationId xmlns:a16="http://schemas.microsoft.com/office/drawing/2014/main" id="{2A4BB5E8-B4F4-0157-EADD-5F8DE03D1A3C}"/>
              </a:ext>
            </a:extLst>
          </xdr:cNvPr>
          <xdr:cNvSpPr/>
        </xdr:nvSpPr>
        <xdr:spPr>
          <a:xfrm rot="5400000">
            <a:off x="4465159"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56" name="Straight Connector 55">
            <a:extLst>
              <a:ext uri="{FF2B5EF4-FFF2-40B4-BE49-F238E27FC236}">
                <a16:creationId xmlns:a16="http://schemas.microsoft.com/office/drawing/2014/main" id="{EA8DD9C8-38CE-6CFF-5F65-9C1611F907B1}"/>
              </a:ext>
            </a:extLst>
          </xdr:cNvPr>
          <xdr:cNvCxnSpPr/>
        </xdr:nvCxnSpPr>
        <xdr:spPr>
          <a:xfrm>
            <a:off x="4505476" y="342697"/>
            <a:ext cx="0" cy="792000"/>
          </a:xfrm>
          <a:prstGeom prst="line">
            <a:avLst/>
          </a:prstGeom>
          <a:grpFill/>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20</xdr:col>
      <xdr:colOff>594683</xdr:colOff>
      <xdr:row>1</xdr:row>
      <xdr:rowOff>282222</xdr:rowOff>
    </xdr:from>
    <xdr:to>
      <xdr:col>22</xdr:col>
      <xdr:colOff>33159</xdr:colOff>
      <xdr:row>3</xdr:row>
      <xdr:rowOff>63397</xdr:rowOff>
    </xdr:to>
    <xdr:pic>
      <xdr:nvPicPr>
        <xdr:cNvPr id="58" name="Graphic 57" descr="Hourglass 90% outline">
          <a:extLst>
            <a:ext uri="{FF2B5EF4-FFF2-40B4-BE49-F238E27FC236}">
              <a16:creationId xmlns:a16="http://schemas.microsoft.com/office/drawing/2014/main" id="{53710CF9-0893-FDF4-5C0D-A6B495A45A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16191" y="463651"/>
          <a:ext cx="648000" cy="648000"/>
        </a:xfrm>
        <a:prstGeom prst="rect">
          <a:avLst/>
        </a:prstGeom>
      </xdr:spPr>
    </xdr:pic>
    <xdr:clientData/>
  </xdr:twoCellAnchor>
  <xdr:twoCellAnchor editAs="absolute">
    <xdr:from>
      <xdr:col>7</xdr:col>
      <xdr:colOff>128652</xdr:colOff>
      <xdr:row>1</xdr:row>
      <xdr:rowOff>199206</xdr:rowOff>
    </xdr:from>
    <xdr:to>
      <xdr:col>8</xdr:col>
      <xdr:colOff>171890</xdr:colOff>
      <xdr:row>2</xdr:row>
      <xdr:rowOff>242445</xdr:rowOff>
    </xdr:to>
    <xdr:pic>
      <xdr:nvPicPr>
        <xdr:cNvPr id="62" name="Graphic 61" descr="Grinning face outline outline">
          <a:extLst>
            <a:ext uri="{FF2B5EF4-FFF2-40B4-BE49-F238E27FC236}">
              <a16:creationId xmlns:a16="http://schemas.microsoft.com/office/drawing/2014/main" id="{090486C7-5204-7856-C90F-1108778F5C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88255" y="380635"/>
          <a:ext cx="648000" cy="648000"/>
        </a:xfrm>
        <a:prstGeom prst="rect">
          <a:avLst/>
        </a:prstGeom>
      </xdr:spPr>
    </xdr:pic>
    <xdr:clientData/>
  </xdr:twoCellAnchor>
  <xdr:twoCellAnchor editAs="absolute">
    <xdr:from>
      <xdr:col>11</xdr:col>
      <xdr:colOff>470159</xdr:colOff>
      <xdr:row>1</xdr:row>
      <xdr:rowOff>187936</xdr:rowOff>
    </xdr:from>
    <xdr:to>
      <xdr:col>12</xdr:col>
      <xdr:colOff>513397</xdr:colOff>
      <xdr:row>2</xdr:row>
      <xdr:rowOff>231175</xdr:rowOff>
    </xdr:to>
    <xdr:pic>
      <xdr:nvPicPr>
        <xdr:cNvPr id="1024" name="Graphic 1023" descr="Tired face outline outline">
          <a:extLst>
            <a:ext uri="{FF2B5EF4-FFF2-40B4-BE49-F238E27FC236}">
              <a16:creationId xmlns:a16="http://schemas.microsoft.com/office/drawing/2014/main" id="{66AA6ECB-8B56-4AD0-9885-58E6E064572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48810" y="369365"/>
          <a:ext cx="648000" cy="648000"/>
        </a:xfrm>
        <a:prstGeom prst="rect">
          <a:avLst/>
        </a:prstGeom>
      </xdr:spPr>
    </xdr:pic>
    <xdr:clientData/>
  </xdr:twoCellAnchor>
  <xdr:twoCellAnchor editAs="absolute">
    <xdr:from>
      <xdr:col>25</xdr:col>
      <xdr:colOff>215952</xdr:colOff>
      <xdr:row>0</xdr:row>
      <xdr:rowOff>116666</xdr:rowOff>
    </xdr:from>
    <xdr:to>
      <xdr:col>29</xdr:col>
      <xdr:colOff>318333</xdr:colOff>
      <xdr:row>4</xdr:row>
      <xdr:rowOff>146983</xdr:rowOff>
    </xdr:to>
    <xdr:grpSp>
      <xdr:nvGrpSpPr>
        <xdr:cNvPr id="1038" name="Group 1037">
          <a:extLst>
            <a:ext uri="{FF2B5EF4-FFF2-40B4-BE49-F238E27FC236}">
              <a16:creationId xmlns:a16="http://schemas.microsoft.com/office/drawing/2014/main" id="{014F8265-A8B2-2872-2CB7-78B0409B4DAF}"/>
            </a:ext>
          </a:extLst>
        </xdr:cNvPr>
        <xdr:cNvGrpSpPr/>
      </xdr:nvGrpSpPr>
      <xdr:grpSpPr>
        <a:xfrm>
          <a:off x="14905619" y="116666"/>
          <a:ext cx="2529492" cy="1272095"/>
          <a:chOff x="3743730" y="116666"/>
          <a:chExt cx="2521429" cy="1260000"/>
        </a:xfrm>
        <a:noFill/>
      </xdr:grpSpPr>
      <xdr:sp macro="" textlink="">
        <xdr:nvSpPr>
          <xdr:cNvPr id="1039" name="Rectangle: Top Corners Rounded 1038">
            <a:extLst>
              <a:ext uri="{FF2B5EF4-FFF2-40B4-BE49-F238E27FC236}">
                <a16:creationId xmlns:a16="http://schemas.microsoft.com/office/drawing/2014/main" id="{C45F09F4-7E46-3BF9-27D6-EBE26544B48A}"/>
              </a:ext>
            </a:extLst>
          </xdr:cNvPr>
          <xdr:cNvSpPr/>
        </xdr:nvSpPr>
        <xdr:spPr>
          <a:xfrm rot="16200000">
            <a:off x="4283730"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40" name="Rectangle: Top Corners Rounded 1039">
            <a:extLst>
              <a:ext uri="{FF2B5EF4-FFF2-40B4-BE49-F238E27FC236}">
                <a16:creationId xmlns:a16="http://schemas.microsoft.com/office/drawing/2014/main" id="{AE8DA7C3-BCDD-F30C-C76A-3137F0680A60}"/>
              </a:ext>
            </a:extLst>
          </xdr:cNvPr>
          <xdr:cNvSpPr/>
        </xdr:nvSpPr>
        <xdr:spPr>
          <a:xfrm rot="5400000">
            <a:off x="4465159" y="-423334"/>
            <a:ext cx="1260000" cy="2340000"/>
          </a:xfrm>
          <a:prstGeom prst="round2SameRect">
            <a:avLst>
              <a:gd name="adj1" fmla="val 9467"/>
              <a:gd name="adj2" fmla="val 0"/>
            </a:avLst>
          </a:prstGeom>
          <a:grp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041" name="Straight Connector 1040">
            <a:extLst>
              <a:ext uri="{FF2B5EF4-FFF2-40B4-BE49-F238E27FC236}">
                <a16:creationId xmlns:a16="http://schemas.microsoft.com/office/drawing/2014/main" id="{5C2E00BA-6E99-A8DE-D86E-5F035ED3A39A}"/>
              </a:ext>
            </a:extLst>
          </xdr:cNvPr>
          <xdr:cNvCxnSpPr/>
        </xdr:nvCxnSpPr>
        <xdr:spPr>
          <a:xfrm>
            <a:off x="4505476" y="342697"/>
            <a:ext cx="0" cy="792000"/>
          </a:xfrm>
          <a:prstGeom prst="line">
            <a:avLst/>
          </a:prstGeom>
          <a:grpFill/>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25</xdr:col>
      <xdr:colOff>312461</xdr:colOff>
      <xdr:row>1</xdr:row>
      <xdr:rowOff>221746</xdr:rowOff>
    </xdr:from>
    <xdr:to>
      <xdr:col>26</xdr:col>
      <xdr:colOff>355699</xdr:colOff>
      <xdr:row>3</xdr:row>
      <xdr:rowOff>2921</xdr:rowOff>
    </xdr:to>
    <xdr:pic>
      <xdr:nvPicPr>
        <xdr:cNvPr id="1043" name="Graphic 1042" descr="Smart Phone outline">
          <a:extLst>
            <a:ext uri="{FF2B5EF4-FFF2-40B4-BE49-F238E27FC236}">
              <a16:creationId xmlns:a16="http://schemas.microsoft.com/office/drawing/2014/main" id="{E258F5F2-45C0-7841-3097-088C8DE782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957778" y="403175"/>
          <a:ext cx="648000" cy="648000"/>
        </a:xfrm>
        <a:prstGeom prst="rect">
          <a:avLst/>
        </a:prstGeom>
      </xdr:spPr>
    </xdr:pic>
    <xdr:clientData/>
  </xdr:twoCellAnchor>
  <xdr:twoCellAnchor editAs="absolute">
    <xdr:from>
      <xdr:col>16</xdr:col>
      <xdr:colOff>210476</xdr:colOff>
      <xdr:row>1</xdr:row>
      <xdr:rowOff>190317</xdr:rowOff>
    </xdr:from>
    <xdr:to>
      <xdr:col>17</xdr:col>
      <xdr:colOff>253714</xdr:colOff>
      <xdr:row>2</xdr:row>
      <xdr:rowOff>233556</xdr:rowOff>
    </xdr:to>
    <xdr:pic>
      <xdr:nvPicPr>
        <xdr:cNvPr id="1045" name="Graphic 1044" descr="Snooze with solid fill">
          <a:extLst>
            <a:ext uri="{FF2B5EF4-FFF2-40B4-BE49-F238E27FC236}">
              <a16:creationId xmlns:a16="http://schemas.microsoft.com/office/drawing/2014/main" id="{E446D0AD-5066-B0E9-0EE4-919B2BDFB2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12936" y="371746"/>
          <a:ext cx="648000" cy="648000"/>
        </a:xfrm>
        <a:prstGeom prst="rect">
          <a:avLst/>
        </a:prstGeom>
      </xdr:spPr>
    </xdr:pic>
    <xdr:clientData/>
  </xdr:twoCellAnchor>
  <xdr:twoCellAnchor editAs="absolute">
    <xdr:from>
      <xdr:col>8</xdr:col>
      <xdr:colOff>338765</xdr:colOff>
      <xdr:row>1</xdr:row>
      <xdr:rowOff>227891</xdr:rowOff>
    </xdr:from>
    <xdr:to>
      <xdr:col>10</xdr:col>
      <xdr:colOff>500035</xdr:colOff>
      <xdr:row>2</xdr:row>
      <xdr:rowOff>56543</xdr:rowOff>
    </xdr:to>
    <xdr:sp macro="" textlink="Sheet1!B4">
      <xdr:nvSpPr>
        <xdr:cNvPr id="1046" name="TextBox 1045">
          <a:extLst>
            <a:ext uri="{FF2B5EF4-FFF2-40B4-BE49-F238E27FC236}">
              <a16:creationId xmlns:a16="http://schemas.microsoft.com/office/drawing/2014/main" id="{102B6078-7DA8-9C21-5820-0C7BB6AC1A21}"/>
            </a:ext>
          </a:extLst>
        </xdr:cNvPr>
        <xdr:cNvSpPr txBox="1"/>
      </xdr:nvSpPr>
      <xdr:spPr>
        <a:xfrm>
          <a:off x="4690838" y="413745"/>
          <a:ext cx="1369319" cy="432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A33E66-6B8C-4A10-8E3A-57D69CAF3C35}" type="TxLink">
            <a:rPr lang="en-US" sz="1800" b="0" i="0" u="none" strike="noStrike">
              <a:solidFill>
                <a:schemeClr val="bg1"/>
              </a:solidFill>
              <a:latin typeface="Aptos Narrow"/>
            </a:rPr>
            <a:pPr algn="ctr"/>
            <a:t>8.376</a:t>
          </a:fld>
          <a:endParaRPr lang="en-US" sz="1800">
            <a:solidFill>
              <a:schemeClr val="bg1"/>
            </a:solidFill>
          </a:endParaRPr>
        </a:p>
      </xdr:txBody>
    </xdr:sp>
    <xdr:clientData/>
  </xdr:twoCellAnchor>
  <xdr:twoCellAnchor editAs="absolute">
    <xdr:from>
      <xdr:col>13</xdr:col>
      <xdr:colOff>4837</xdr:colOff>
      <xdr:row>1</xdr:row>
      <xdr:rowOff>181428</xdr:rowOff>
    </xdr:from>
    <xdr:to>
      <xdr:col>15</xdr:col>
      <xdr:colOff>161270</xdr:colOff>
      <xdr:row>2</xdr:row>
      <xdr:rowOff>10080</xdr:rowOff>
    </xdr:to>
    <xdr:sp macro="" textlink="Sheet1!B5">
      <xdr:nvSpPr>
        <xdr:cNvPr id="1053" name="TextBox 1052">
          <a:extLst>
            <a:ext uri="{FF2B5EF4-FFF2-40B4-BE49-F238E27FC236}">
              <a16:creationId xmlns:a16="http://schemas.microsoft.com/office/drawing/2014/main" id="{0CD4C2CE-2293-5216-A448-CD64943AFFA6}"/>
            </a:ext>
          </a:extLst>
        </xdr:cNvPr>
        <xdr:cNvSpPr txBox="1"/>
      </xdr:nvSpPr>
      <xdr:spPr>
        <a:xfrm>
          <a:off x="7388174" y="362857"/>
          <a:ext cx="1370794" cy="43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9B0BEF-C9B2-4CF1-BAE2-2BFB559C7048}" type="TxLink">
            <a:rPr lang="en-US" sz="1800" b="0" i="0" u="none" strike="noStrike">
              <a:solidFill>
                <a:schemeClr val="bg1"/>
              </a:solidFill>
              <a:latin typeface="Aptos Narrow"/>
            </a:rPr>
            <a:pPr algn="ctr"/>
            <a:t>6.618</a:t>
          </a:fld>
          <a:endParaRPr lang="en-US" sz="1800">
            <a:solidFill>
              <a:schemeClr val="bg1"/>
            </a:solidFill>
          </a:endParaRPr>
        </a:p>
      </xdr:txBody>
    </xdr:sp>
    <xdr:clientData/>
  </xdr:twoCellAnchor>
  <xdr:twoCellAnchor editAs="absolute">
    <xdr:from>
      <xdr:col>17</xdr:col>
      <xdr:colOff>282222</xdr:colOff>
      <xdr:row>1</xdr:row>
      <xdr:rowOff>131030</xdr:rowOff>
    </xdr:from>
    <xdr:to>
      <xdr:col>19</xdr:col>
      <xdr:colOff>443492</xdr:colOff>
      <xdr:row>1</xdr:row>
      <xdr:rowOff>564443</xdr:rowOff>
    </xdr:to>
    <xdr:sp macro="" textlink="Sheet1!B2">
      <xdr:nvSpPr>
        <xdr:cNvPr id="1054" name="TextBox 1053">
          <a:extLst>
            <a:ext uri="{FF2B5EF4-FFF2-40B4-BE49-F238E27FC236}">
              <a16:creationId xmlns:a16="http://schemas.microsoft.com/office/drawing/2014/main" id="{104EB154-C89C-E8A2-9A79-272A742A9452}"/>
            </a:ext>
          </a:extLst>
        </xdr:cNvPr>
        <xdr:cNvSpPr txBox="1"/>
      </xdr:nvSpPr>
      <xdr:spPr>
        <a:xfrm>
          <a:off x="10089444" y="312459"/>
          <a:ext cx="1370794" cy="43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5E4D42-CB28-4792-B877-05D84DE86FDD}" type="TxLink">
            <a:rPr lang="en-US" sz="1800" b="0" i="0" u="none" strike="noStrike">
              <a:solidFill>
                <a:schemeClr val="bg1"/>
              </a:solidFill>
              <a:latin typeface="Aptos Narrow"/>
            </a:rPr>
            <a:pPr algn="ctr"/>
            <a:t>6.304</a:t>
          </a:fld>
          <a:endParaRPr lang="en-US" sz="1800">
            <a:solidFill>
              <a:schemeClr val="bg1"/>
            </a:solidFill>
          </a:endParaRPr>
        </a:p>
      </xdr:txBody>
    </xdr:sp>
    <xdr:clientData/>
  </xdr:twoCellAnchor>
  <xdr:twoCellAnchor editAs="absolute">
    <xdr:from>
      <xdr:col>22</xdr:col>
      <xdr:colOff>60475</xdr:colOff>
      <xdr:row>1</xdr:row>
      <xdr:rowOff>110872</xdr:rowOff>
    </xdr:from>
    <xdr:to>
      <xdr:col>24</xdr:col>
      <xdr:colOff>221745</xdr:colOff>
      <xdr:row>1</xdr:row>
      <xdr:rowOff>544285</xdr:rowOff>
    </xdr:to>
    <xdr:sp macro="" textlink="Sheet1!B7">
      <xdr:nvSpPr>
        <xdr:cNvPr id="1055" name="TextBox 1054">
          <a:extLst>
            <a:ext uri="{FF2B5EF4-FFF2-40B4-BE49-F238E27FC236}">
              <a16:creationId xmlns:a16="http://schemas.microsoft.com/office/drawing/2014/main" id="{C5E47C8D-FACE-ED5D-BCB8-BA2C5AF3B205}"/>
            </a:ext>
          </a:extLst>
        </xdr:cNvPr>
        <xdr:cNvSpPr txBox="1"/>
      </xdr:nvSpPr>
      <xdr:spPr>
        <a:xfrm>
          <a:off x="12868890" y="296726"/>
          <a:ext cx="1369318" cy="43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6D36D8-8C11-4BEC-85A2-0D94C0671B8B}" type="TxLink">
            <a:rPr lang="en-US" sz="1800" b="0" i="0" u="none" strike="noStrike">
              <a:solidFill>
                <a:schemeClr val="bg1"/>
              </a:solidFill>
              <a:latin typeface="Aptos Narrow"/>
            </a:rPr>
            <a:pPr algn="ctr"/>
            <a:t>6.953</a:t>
          </a:fld>
          <a:endParaRPr lang="en-GB" sz="1800">
            <a:solidFill>
              <a:schemeClr val="bg1"/>
            </a:solidFill>
          </a:endParaRPr>
        </a:p>
      </xdr:txBody>
    </xdr:sp>
    <xdr:clientData/>
  </xdr:twoCellAnchor>
  <xdr:twoCellAnchor editAs="absolute">
    <xdr:from>
      <xdr:col>26</xdr:col>
      <xdr:colOff>433413</xdr:colOff>
      <xdr:row>1</xdr:row>
      <xdr:rowOff>100792</xdr:rowOff>
    </xdr:from>
    <xdr:to>
      <xdr:col>28</xdr:col>
      <xdr:colOff>594683</xdr:colOff>
      <xdr:row>1</xdr:row>
      <xdr:rowOff>534205</xdr:rowOff>
    </xdr:to>
    <xdr:sp macro="" textlink="Sheet1!B3">
      <xdr:nvSpPr>
        <xdr:cNvPr id="1056" name="TextBox 1055">
          <a:extLst>
            <a:ext uri="{FF2B5EF4-FFF2-40B4-BE49-F238E27FC236}">
              <a16:creationId xmlns:a16="http://schemas.microsoft.com/office/drawing/2014/main" id="{045888CB-6AF6-9D64-A11D-EBB92E19494D}"/>
            </a:ext>
          </a:extLst>
        </xdr:cNvPr>
        <xdr:cNvSpPr txBox="1"/>
      </xdr:nvSpPr>
      <xdr:spPr>
        <a:xfrm>
          <a:off x="15683492" y="282221"/>
          <a:ext cx="1370794" cy="43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4B5562-0BA4-449E-AF37-43505C7D553F}" type="TxLink">
            <a:rPr lang="en-US" sz="1800" b="0" i="0" u="none" strike="noStrike">
              <a:solidFill>
                <a:schemeClr val="bg1"/>
              </a:solidFill>
              <a:latin typeface="Aptos Narrow"/>
            </a:rPr>
            <a:pPr algn="ctr"/>
            <a:t>5.53</a:t>
          </a:fld>
          <a:endParaRPr lang="en-GB" sz="1800">
            <a:solidFill>
              <a:schemeClr val="bg1"/>
            </a:solidFill>
          </a:endParaRPr>
        </a:p>
      </xdr:txBody>
    </xdr:sp>
    <xdr:clientData/>
  </xdr:twoCellAnchor>
  <xdr:twoCellAnchor editAs="absolute">
    <xdr:from>
      <xdr:col>8</xdr:col>
      <xdr:colOff>322540</xdr:colOff>
      <xdr:row>2</xdr:row>
      <xdr:rowOff>60477</xdr:rowOff>
    </xdr:from>
    <xdr:to>
      <xdr:col>10</xdr:col>
      <xdr:colOff>372936</xdr:colOff>
      <xdr:row>3</xdr:row>
      <xdr:rowOff>90715</xdr:rowOff>
    </xdr:to>
    <xdr:sp macro="" textlink="">
      <xdr:nvSpPr>
        <xdr:cNvPr id="1057" name="TextBox 1056">
          <a:extLst>
            <a:ext uri="{FF2B5EF4-FFF2-40B4-BE49-F238E27FC236}">
              <a16:creationId xmlns:a16="http://schemas.microsoft.com/office/drawing/2014/main" id="{718B8DDA-EF1F-B042-7B4C-D3F6F11F9FA1}"/>
            </a:ext>
          </a:extLst>
        </xdr:cNvPr>
        <xdr:cNvSpPr txBox="1"/>
      </xdr:nvSpPr>
      <xdr:spPr>
        <a:xfrm>
          <a:off x="4686905" y="846667"/>
          <a:ext cx="1259920" cy="292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chemeClr val="bg1"/>
              </a:solidFill>
            </a:rPr>
            <a:t>Happiness</a:t>
          </a:r>
        </a:p>
      </xdr:txBody>
    </xdr:sp>
    <xdr:clientData/>
  </xdr:twoCellAnchor>
  <xdr:twoCellAnchor editAs="absolute">
    <xdr:from>
      <xdr:col>13</xdr:col>
      <xdr:colOff>30237</xdr:colOff>
      <xdr:row>2</xdr:row>
      <xdr:rowOff>50398</xdr:rowOff>
    </xdr:from>
    <xdr:to>
      <xdr:col>15</xdr:col>
      <xdr:colOff>80634</xdr:colOff>
      <xdr:row>3</xdr:row>
      <xdr:rowOff>80636</xdr:rowOff>
    </xdr:to>
    <xdr:sp macro="" textlink="">
      <xdr:nvSpPr>
        <xdr:cNvPr id="1058" name="TextBox 1057">
          <a:extLst>
            <a:ext uri="{FF2B5EF4-FFF2-40B4-BE49-F238E27FC236}">
              <a16:creationId xmlns:a16="http://schemas.microsoft.com/office/drawing/2014/main" id="{1C40F30F-A987-F868-7212-68C8C195A741}"/>
            </a:ext>
          </a:extLst>
        </xdr:cNvPr>
        <xdr:cNvSpPr txBox="1"/>
      </xdr:nvSpPr>
      <xdr:spPr>
        <a:xfrm>
          <a:off x="7418412" y="836588"/>
          <a:ext cx="1259920" cy="292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solidFill>
                <a:schemeClr val="bg1"/>
              </a:solidFill>
            </a:rPr>
            <a:t>Stress</a:t>
          </a:r>
        </a:p>
      </xdr:txBody>
    </xdr:sp>
    <xdr:clientData/>
  </xdr:twoCellAnchor>
  <xdr:twoCellAnchor editAs="absolute">
    <xdr:from>
      <xdr:col>17</xdr:col>
      <xdr:colOff>352777</xdr:colOff>
      <xdr:row>2</xdr:row>
      <xdr:rowOff>30240</xdr:rowOff>
    </xdr:from>
    <xdr:to>
      <xdr:col>19</xdr:col>
      <xdr:colOff>403173</xdr:colOff>
      <xdr:row>3</xdr:row>
      <xdr:rowOff>60478</xdr:rowOff>
    </xdr:to>
    <xdr:sp macro="" textlink="">
      <xdr:nvSpPr>
        <xdr:cNvPr id="1059" name="TextBox 1058">
          <a:extLst>
            <a:ext uri="{FF2B5EF4-FFF2-40B4-BE49-F238E27FC236}">
              <a16:creationId xmlns:a16="http://schemas.microsoft.com/office/drawing/2014/main" id="{13EB250D-124C-E7C1-A93B-EF6E5D2E2A41}"/>
            </a:ext>
          </a:extLst>
        </xdr:cNvPr>
        <xdr:cNvSpPr txBox="1"/>
      </xdr:nvSpPr>
      <xdr:spPr>
        <a:xfrm>
          <a:off x="10159999" y="816430"/>
          <a:ext cx="1259920" cy="292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solidFill>
                <a:schemeClr val="bg1"/>
              </a:solidFill>
            </a:rPr>
            <a:t>Sleep Time</a:t>
          </a:r>
        </a:p>
      </xdr:txBody>
    </xdr:sp>
    <xdr:clientData/>
  </xdr:twoCellAnchor>
  <xdr:twoCellAnchor editAs="absolute">
    <xdr:from>
      <xdr:col>22</xdr:col>
      <xdr:colOff>131031</xdr:colOff>
      <xdr:row>1</xdr:row>
      <xdr:rowOff>483809</xdr:rowOff>
    </xdr:from>
    <xdr:to>
      <xdr:col>24</xdr:col>
      <xdr:colOff>181427</xdr:colOff>
      <xdr:row>3</xdr:row>
      <xdr:rowOff>141111</xdr:rowOff>
    </xdr:to>
    <xdr:sp macro="" textlink="">
      <xdr:nvSpPr>
        <xdr:cNvPr id="1060" name="TextBox 1059">
          <a:extLst>
            <a:ext uri="{FF2B5EF4-FFF2-40B4-BE49-F238E27FC236}">
              <a16:creationId xmlns:a16="http://schemas.microsoft.com/office/drawing/2014/main" id="{F8E50471-3224-F001-AEAF-5E230738D008}"/>
            </a:ext>
          </a:extLst>
        </xdr:cNvPr>
        <xdr:cNvSpPr txBox="1"/>
      </xdr:nvSpPr>
      <xdr:spPr>
        <a:xfrm>
          <a:off x="12962063" y="665238"/>
          <a:ext cx="1259920" cy="52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solidFill>
                <a:schemeClr val="bg1"/>
              </a:solidFill>
            </a:rPr>
            <a:t>Screen</a:t>
          </a:r>
          <a:r>
            <a:rPr lang="en-GB" sz="1200" baseline="0">
              <a:solidFill>
                <a:schemeClr val="bg1"/>
              </a:solidFill>
            </a:rPr>
            <a:t> Time/Happiness</a:t>
          </a:r>
          <a:endParaRPr lang="en-GB" sz="1200">
            <a:solidFill>
              <a:schemeClr val="bg1"/>
            </a:solidFill>
          </a:endParaRPr>
        </a:p>
      </xdr:txBody>
    </xdr:sp>
    <xdr:clientData/>
  </xdr:twoCellAnchor>
  <xdr:twoCellAnchor editAs="absolute">
    <xdr:from>
      <xdr:col>26</xdr:col>
      <xdr:colOff>524126</xdr:colOff>
      <xdr:row>1</xdr:row>
      <xdr:rowOff>594682</xdr:rowOff>
    </xdr:from>
    <xdr:to>
      <xdr:col>28</xdr:col>
      <xdr:colOff>574522</xdr:colOff>
      <xdr:row>3</xdr:row>
      <xdr:rowOff>20159</xdr:rowOff>
    </xdr:to>
    <xdr:sp macro="" textlink="">
      <xdr:nvSpPr>
        <xdr:cNvPr id="1061" name="TextBox 1060">
          <a:extLst>
            <a:ext uri="{FF2B5EF4-FFF2-40B4-BE49-F238E27FC236}">
              <a16:creationId xmlns:a16="http://schemas.microsoft.com/office/drawing/2014/main" id="{779920C9-8D0D-09EB-93B6-4DBA9F0E027F}"/>
            </a:ext>
          </a:extLst>
        </xdr:cNvPr>
        <xdr:cNvSpPr txBox="1"/>
      </xdr:nvSpPr>
      <xdr:spPr>
        <a:xfrm>
          <a:off x="15774205" y="776111"/>
          <a:ext cx="1259920" cy="292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solidFill>
                <a:schemeClr val="bg1"/>
              </a:solidFill>
            </a:rPr>
            <a:t>Screen</a:t>
          </a:r>
          <a:r>
            <a:rPr lang="en-GB" sz="1800">
              <a:solidFill>
                <a:schemeClr val="accent5"/>
              </a:solidFill>
            </a:rPr>
            <a:t> Time</a:t>
          </a:r>
        </a:p>
      </xdr:txBody>
    </xdr:sp>
    <xdr:clientData/>
  </xdr:twoCellAnchor>
  <xdr:twoCellAnchor>
    <xdr:from>
      <xdr:col>15</xdr:col>
      <xdr:colOff>332622</xdr:colOff>
      <xdr:row>8</xdr:row>
      <xdr:rowOff>20159</xdr:rowOff>
    </xdr:from>
    <xdr:to>
      <xdr:col>23</xdr:col>
      <xdr:colOff>66526</xdr:colOff>
      <xdr:row>23</xdr:row>
      <xdr:rowOff>45106</xdr:rowOff>
    </xdr:to>
    <xdr:graphicFrame macro="">
      <xdr:nvGraphicFramePr>
        <xdr:cNvPr id="3" name="Chart 2">
          <a:extLst>
            <a:ext uri="{FF2B5EF4-FFF2-40B4-BE49-F238E27FC236}">
              <a16:creationId xmlns:a16="http://schemas.microsoft.com/office/drawing/2014/main" id="{93BAD1A7-8852-4334-92EC-DA5E4D49E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541514</xdr:colOff>
      <xdr:row>25</xdr:row>
      <xdr:rowOff>15874</xdr:rowOff>
    </xdr:from>
    <xdr:to>
      <xdr:col>13</xdr:col>
      <xdr:colOff>434168</xdr:colOff>
      <xdr:row>41</xdr:row>
      <xdr:rowOff>95249</xdr:rowOff>
    </xdr:to>
    <xdr:graphicFrame macro="">
      <xdr:nvGraphicFramePr>
        <xdr:cNvPr id="4" name="Chart 3">
          <a:extLst>
            <a:ext uri="{FF2B5EF4-FFF2-40B4-BE49-F238E27FC236}">
              <a16:creationId xmlns:a16="http://schemas.microsoft.com/office/drawing/2014/main" id="{8CC09F32-A81B-4328-BDE4-B4C30C7CA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524127</xdr:colOff>
      <xdr:row>25</xdr:row>
      <xdr:rowOff>20158</xdr:rowOff>
    </xdr:from>
    <xdr:to>
      <xdr:col>21</xdr:col>
      <xdr:colOff>426307</xdr:colOff>
      <xdr:row>41</xdr:row>
      <xdr:rowOff>111125</xdr:rowOff>
    </xdr:to>
    <xdr:graphicFrame macro="">
      <xdr:nvGraphicFramePr>
        <xdr:cNvPr id="5" name="Chart 4">
          <a:extLst>
            <a:ext uri="{FF2B5EF4-FFF2-40B4-BE49-F238E27FC236}">
              <a16:creationId xmlns:a16="http://schemas.microsoft.com/office/drawing/2014/main" id="{8A031820-F4E9-46EA-B7E9-04BBFBBC3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514048</xdr:colOff>
      <xdr:row>25</xdr:row>
      <xdr:rowOff>0</xdr:rowOff>
    </xdr:from>
    <xdr:to>
      <xdr:col>30</xdr:col>
      <xdr:colOff>325816</xdr:colOff>
      <xdr:row>41</xdr:row>
      <xdr:rowOff>103868</xdr:rowOff>
    </xdr:to>
    <xdr:graphicFrame macro="">
      <xdr:nvGraphicFramePr>
        <xdr:cNvPr id="6" name="Chart 5">
          <a:extLst>
            <a:ext uri="{FF2B5EF4-FFF2-40B4-BE49-F238E27FC236}">
              <a16:creationId xmlns:a16="http://schemas.microsoft.com/office/drawing/2014/main" id="{3E44351C-84BF-4606-92A5-B8D70923B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100792</xdr:colOff>
      <xdr:row>7</xdr:row>
      <xdr:rowOff>181428</xdr:rowOff>
    </xdr:from>
    <xdr:to>
      <xdr:col>30</xdr:col>
      <xdr:colOff>439459</xdr:colOff>
      <xdr:row>23</xdr:row>
      <xdr:rowOff>21771</xdr:rowOff>
    </xdr:to>
    <xdr:graphicFrame macro="">
      <xdr:nvGraphicFramePr>
        <xdr:cNvPr id="7" name="Chart 6">
          <a:extLst>
            <a:ext uri="{FF2B5EF4-FFF2-40B4-BE49-F238E27FC236}">
              <a16:creationId xmlns:a16="http://schemas.microsoft.com/office/drawing/2014/main" id="{7E641285-CCAE-437A-9AD6-8011CAC02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3</xdr:row>
      <xdr:rowOff>90514</xdr:rowOff>
    </xdr:from>
    <xdr:to>
      <xdr:col>5</xdr:col>
      <xdr:colOff>383016</xdr:colOff>
      <xdr:row>9</xdr:row>
      <xdr:rowOff>148903</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E971746A-190D-4DE2-E42F-EB3230D38A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131208"/>
              <a:ext cx="2975933" cy="11167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88748</xdr:rowOff>
    </xdr:from>
    <xdr:to>
      <xdr:col>5</xdr:col>
      <xdr:colOff>393095</xdr:colOff>
      <xdr:row>16</xdr:row>
      <xdr:rowOff>152176</xdr:rowOff>
    </xdr:to>
    <mc:AlternateContent xmlns:mc="http://schemas.openxmlformats.org/markup-compatibility/2006" xmlns:a14="http://schemas.microsoft.com/office/drawing/2010/main">
      <mc:Choice Requires="a14">
        <xdr:graphicFrame macro="">
          <xdr:nvGraphicFramePr>
            <xdr:cNvPr id="13" name="Sleep_Quality(1-10)">
              <a:extLst>
                <a:ext uri="{FF2B5EF4-FFF2-40B4-BE49-F238E27FC236}">
                  <a16:creationId xmlns:a16="http://schemas.microsoft.com/office/drawing/2014/main" id="{D7C64B97-AFF6-403C-2A55-640BDDEF3CD9}"/>
                </a:ext>
              </a:extLst>
            </xdr:cNvPr>
            <xdr:cNvGraphicFramePr/>
          </xdr:nvGraphicFramePr>
          <xdr:xfrm>
            <a:off x="0" y="0"/>
            <a:ext cx="0" cy="0"/>
          </xdr:xfrm>
          <a:graphic>
            <a:graphicData uri="http://schemas.microsoft.com/office/drawing/2010/slicer">
              <sle:slicer xmlns:sle="http://schemas.microsoft.com/office/drawing/2010/slicer" name="Sleep_Quality(1-10)"/>
            </a:graphicData>
          </a:graphic>
        </xdr:graphicFrame>
      </mc:Choice>
      <mc:Fallback xmlns="">
        <xdr:sp macro="" textlink="">
          <xdr:nvSpPr>
            <xdr:cNvPr id="0" name=""/>
            <xdr:cNvSpPr>
              <a:spLocks noTextEdit="1"/>
            </xdr:cNvSpPr>
          </xdr:nvSpPr>
          <xdr:spPr>
            <a:xfrm>
              <a:off x="0" y="2364165"/>
              <a:ext cx="2986012" cy="11217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25954</xdr:rowOff>
    </xdr:from>
    <xdr:to>
      <xdr:col>5</xdr:col>
      <xdr:colOff>362859</xdr:colOff>
      <xdr:row>23</xdr:row>
      <xdr:rowOff>98454</xdr:rowOff>
    </xdr:to>
    <mc:AlternateContent xmlns:mc="http://schemas.openxmlformats.org/markup-compatibility/2006" xmlns:a14="http://schemas.microsoft.com/office/drawing/2010/main">
      <mc:Choice Requires="a14">
        <xdr:graphicFrame macro="">
          <xdr:nvGraphicFramePr>
            <xdr:cNvPr id="14" name="Stress_Level(1-10)">
              <a:extLst>
                <a:ext uri="{FF2B5EF4-FFF2-40B4-BE49-F238E27FC236}">
                  <a16:creationId xmlns:a16="http://schemas.microsoft.com/office/drawing/2014/main" id="{CC64415C-1E83-0C18-4885-1BE8FC3867FD}"/>
                </a:ext>
              </a:extLst>
            </xdr:cNvPr>
            <xdr:cNvGraphicFramePr/>
          </xdr:nvGraphicFramePr>
          <xdr:xfrm>
            <a:off x="0" y="0"/>
            <a:ext cx="0" cy="0"/>
          </xdr:xfrm>
          <a:graphic>
            <a:graphicData uri="http://schemas.microsoft.com/office/drawing/2010/slicer">
              <sle:slicer xmlns:sle="http://schemas.microsoft.com/office/drawing/2010/slicer" name="Stress_Level(1-10)"/>
            </a:graphicData>
          </a:graphic>
        </xdr:graphicFrame>
      </mc:Choice>
      <mc:Fallback xmlns="">
        <xdr:sp macro="" textlink="">
          <xdr:nvSpPr>
            <xdr:cNvPr id="0" name=""/>
            <xdr:cNvSpPr>
              <a:spLocks noTextEdit="1"/>
            </xdr:cNvSpPr>
          </xdr:nvSpPr>
          <xdr:spPr>
            <a:xfrm>
              <a:off x="0" y="3536093"/>
              <a:ext cx="2955776" cy="11308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5546</xdr:colOff>
      <xdr:row>23</xdr:row>
      <xdr:rowOff>148215</xdr:rowOff>
    </xdr:from>
    <xdr:to>
      <xdr:col>5</xdr:col>
      <xdr:colOff>328085</xdr:colOff>
      <xdr:row>30</xdr:row>
      <xdr:rowOff>21144</xdr:rowOff>
    </xdr:to>
    <mc:AlternateContent xmlns:mc="http://schemas.openxmlformats.org/markup-compatibility/2006" xmlns:a14="http://schemas.microsoft.com/office/drawing/2010/main">
      <mc:Choice Requires="a14">
        <xdr:graphicFrame macro="">
          <xdr:nvGraphicFramePr>
            <xdr:cNvPr id="16" name="Exercise_Frequency(week)">
              <a:extLst>
                <a:ext uri="{FF2B5EF4-FFF2-40B4-BE49-F238E27FC236}">
                  <a16:creationId xmlns:a16="http://schemas.microsoft.com/office/drawing/2014/main" id="{284EFA80-DF2F-F64D-ADB9-36314F59C62D}"/>
                </a:ext>
              </a:extLst>
            </xdr:cNvPr>
            <xdr:cNvGraphicFramePr/>
          </xdr:nvGraphicFramePr>
          <xdr:xfrm>
            <a:off x="0" y="0"/>
            <a:ext cx="0" cy="0"/>
          </xdr:xfrm>
          <a:graphic>
            <a:graphicData uri="http://schemas.microsoft.com/office/drawing/2010/slicer">
              <sle:slicer xmlns:sle="http://schemas.microsoft.com/office/drawing/2010/slicer" name="Exercise_Frequency(week)"/>
            </a:graphicData>
          </a:graphic>
        </xdr:graphicFrame>
      </mc:Choice>
      <mc:Fallback xmlns="">
        <xdr:sp macro="" textlink="">
          <xdr:nvSpPr>
            <xdr:cNvPr id="0" name=""/>
            <xdr:cNvSpPr>
              <a:spLocks noTextEdit="1"/>
            </xdr:cNvSpPr>
          </xdr:nvSpPr>
          <xdr:spPr>
            <a:xfrm>
              <a:off x="5546" y="4716687"/>
              <a:ext cx="2915456" cy="11076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40620</xdr:rowOff>
    </xdr:from>
    <xdr:to>
      <xdr:col>5</xdr:col>
      <xdr:colOff>317904</xdr:colOff>
      <xdr:row>35</xdr:row>
      <xdr:rowOff>149175</xdr:rowOff>
    </xdr:to>
    <mc:AlternateContent xmlns:mc="http://schemas.openxmlformats.org/markup-compatibility/2006" xmlns:a14="http://schemas.microsoft.com/office/drawing/2010/main">
      <mc:Choice Requires="a14">
        <xdr:graphicFrame macro="">
          <xdr:nvGraphicFramePr>
            <xdr:cNvPr id="17" name="Social_Media_Platform">
              <a:extLst>
                <a:ext uri="{FF2B5EF4-FFF2-40B4-BE49-F238E27FC236}">
                  <a16:creationId xmlns:a16="http://schemas.microsoft.com/office/drawing/2014/main" id="{1D96E0F0-BB8C-68B8-1EA0-EF48D1A6BCCC}"/>
                </a:ext>
              </a:extLst>
            </xdr:cNvPr>
            <xdr:cNvGraphicFramePr/>
          </xdr:nvGraphicFramePr>
          <xdr:xfrm>
            <a:off x="0" y="0"/>
            <a:ext cx="0" cy="0"/>
          </xdr:xfrm>
          <a:graphic>
            <a:graphicData uri="http://schemas.microsoft.com/office/drawing/2010/slicer">
              <sle:slicer xmlns:sle="http://schemas.microsoft.com/office/drawing/2010/slicer" name="Social_Media_Platform"/>
            </a:graphicData>
          </a:graphic>
        </xdr:graphicFrame>
      </mc:Choice>
      <mc:Fallback xmlns="">
        <xdr:sp macro="" textlink="">
          <xdr:nvSpPr>
            <xdr:cNvPr id="0" name=""/>
            <xdr:cNvSpPr>
              <a:spLocks noTextEdit="1"/>
            </xdr:cNvSpPr>
          </xdr:nvSpPr>
          <xdr:spPr>
            <a:xfrm>
              <a:off x="0" y="5843814"/>
              <a:ext cx="2910821" cy="990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17638</xdr:colOff>
      <xdr:row>36</xdr:row>
      <xdr:rowOff>3075</xdr:rowOff>
    </xdr:from>
    <xdr:to>
      <xdr:col>5</xdr:col>
      <xdr:colOff>326470</xdr:colOff>
      <xdr:row>42</xdr:row>
      <xdr:rowOff>77864</xdr:rowOff>
    </xdr:to>
    <mc:AlternateContent xmlns:mc="http://schemas.openxmlformats.org/markup-compatibility/2006" xmlns:a14="http://schemas.microsoft.com/office/drawing/2010/main">
      <mc:Choice Requires="a14">
        <xdr:graphicFrame macro="">
          <xdr:nvGraphicFramePr>
            <xdr:cNvPr id="18" name="Happiness_Index(1-10)">
              <a:extLst>
                <a:ext uri="{FF2B5EF4-FFF2-40B4-BE49-F238E27FC236}">
                  <a16:creationId xmlns:a16="http://schemas.microsoft.com/office/drawing/2014/main" id="{9755D7CB-D047-7601-6DD5-CA08B48C1DF9}"/>
                </a:ext>
              </a:extLst>
            </xdr:cNvPr>
            <xdr:cNvGraphicFramePr/>
          </xdr:nvGraphicFramePr>
          <xdr:xfrm>
            <a:off x="0" y="0"/>
            <a:ext cx="0" cy="0"/>
          </xdr:xfrm>
          <a:graphic>
            <a:graphicData uri="http://schemas.microsoft.com/office/drawing/2010/slicer">
              <sle:slicer xmlns:sle="http://schemas.microsoft.com/office/drawing/2010/slicer" name="Happiness_Index(1-10)"/>
            </a:graphicData>
          </a:graphic>
        </xdr:graphicFrame>
      </mc:Choice>
      <mc:Fallback xmlns="">
        <xdr:sp macro="" textlink="">
          <xdr:nvSpPr>
            <xdr:cNvPr id="0" name=""/>
            <xdr:cNvSpPr>
              <a:spLocks noTextEdit="1"/>
            </xdr:cNvSpPr>
          </xdr:nvSpPr>
          <xdr:spPr>
            <a:xfrm>
              <a:off x="17638" y="6864603"/>
              <a:ext cx="2901749" cy="11331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610576</xdr:colOff>
      <xdr:row>8</xdr:row>
      <xdr:rowOff>0</xdr:rowOff>
    </xdr:from>
    <xdr:to>
      <xdr:col>14</xdr:col>
      <xdr:colOff>12211</xdr:colOff>
      <xdr:row>23</xdr:row>
      <xdr:rowOff>97692</xdr:rowOff>
    </xdr:to>
    <xdr:graphicFrame macro="">
      <xdr:nvGraphicFramePr>
        <xdr:cNvPr id="11" name="Chart 10">
          <a:extLst>
            <a:ext uri="{FF2B5EF4-FFF2-40B4-BE49-F238E27FC236}">
              <a16:creationId xmlns:a16="http://schemas.microsoft.com/office/drawing/2014/main" id="{D12A20B5-8484-4BC1-9D3B-139C85B43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1054100</xdr:colOff>
      <xdr:row>2</xdr:row>
      <xdr:rowOff>66675</xdr:rowOff>
    </xdr:from>
    <xdr:to>
      <xdr:col>4</xdr:col>
      <xdr:colOff>533400</xdr:colOff>
      <xdr:row>17</xdr:row>
      <xdr:rowOff>47625</xdr:rowOff>
    </xdr:to>
    <xdr:graphicFrame macro="">
      <xdr:nvGraphicFramePr>
        <xdr:cNvPr id="3" name="Chart 2">
          <a:extLst>
            <a:ext uri="{FF2B5EF4-FFF2-40B4-BE49-F238E27FC236}">
              <a16:creationId xmlns:a16="http://schemas.microsoft.com/office/drawing/2014/main" id="{B80157CE-DB83-9D37-FCCF-96E6DD53B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73025</xdr:colOff>
      <xdr:row>8</xdr:row>
      <xdr:rowOff>155575</xdr:rowOff>
    </xdr:from>
    <xdr:to>
      <xdr:col>16</xdr:col>
      <xdr:colOff>53975</xdr:colOff>
      <xdr:row>23</xdr:row>
      <xdr:rowOff>136525</xdr:rowOff>
    </xdr:to>
    <xdr:graphicFrame macro="">
      <xdr:nvGraphicFramePr>
        <xdr:cNvPr id="3" name="Chart 2">
          <a:extLst>
            <a:ext uri="{FF2B5EF4-FFF2-40B4-BE49-F238E27FC236}">
              <a16:creationId xmlns:a16="http://schemas.microsoft.com/office/drawing/2014/main" id="{9F634238-EF2C-F959-3AF8-9571CFE50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120650</xdr:colOff>
      <xdr:row>1</xdr:row>
      <xdr:rowOff>136525</xdr:rowOff>
    </xdr:from>
    <xdr:to>
      <xdr:col>13</xdr:col>
      <xdr:colOff>692150</xdr:colOff>
      <xdr:row>16</xdr:row>
      <xdr:rowOff>120650</xdr:rowOff>
    </xdr:to>
    <xdr:graphicFrame macro="">
      <xdr:nvGraphicFramePr>
        <xdr:cNvPr id="2" name="Chart 1">
          <a:extLst>
            <a:ext uri="{FF2B5EF4-FFF2-40B4-BE49-F238E27FC236}">
              <a16:creationId xmlns:a16="http://schemas.microsoft.com/office/drawing/2014/main" id="{60E21FC8-F012-088C-9823-A387D54A8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428625</xdr:colOff>
      <xdr:row>10</xdr:row>
      <xdr:rowOff>152400</xdr:rowOff>
    </xdr:from>
    <xdr:to>
      <xdr:col>5</xdr:col>
      <xdr:colOff>1647825</xdr:colOff>
      <xdr:row>26</xdr:row>
      <xdr:rowOff>0</xdr:rowOff>
    </xdr:to>
    <xdr:graphicFrame macro="">
      <xdr:nvGraphicFramePr>
        <xdr:cNvPr id="2" name="Chart 1">
          <a:extLst>
            <a:ext uri="{FF2B5EF4-FFF2-40B4-BE49-F238E27FC236}">
              <a16:creationId xmlns:a16="http://schemas.microsoft.com/office/drawing/2014/main" id="{80DFBF2B-9DB3-9ECF-9901-955AE0C58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1400175</xdr:colOff>
      <xdr:row>11</xdr:row>
      <xdr:rowOff>85725</xdr:rowOff>
    </xdr:from>
    <xdr:to>
      <xdr:col>6</xdr:col>
      <xdr:colOff>590550</xdr:colOff>
      <xdr:row>26</xdr:row>
      <xdr:rowOff>114300</xdr:rowOff>
    </xdr:to>
    <xdr:graphicFrame macro="">
      <xdr:nvGraphicFramePr>
        <xdr:cNvPr id="2" name="Chart 1">
          <a:extLst>
            <a:ext uri="{FF2B5EF4-FFF2-40B4-BE49-F238E27FC236}">
              <a16:creationId xmlns:a16="http://schemas.microsoft.com/office/drawing/2014/main" id="{93F7EF64-3ABF-37C7-CA1C-8F36EC57A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xdr:colOff>
      <xdr:row>8</xdr:row>
      <xdr:rowOff>152400</xdr:rowOff>
    </xdr:from>
    <xdr:to>
      <xdr:col>9</xdr:col>
      <xdr:colOff>47625</xdr:colOff>
      <xdr:row>25</xdr:row>
      <xdr:rowOff>28575</xdr:rowOff>
    </xdr:to>
    <xdr:graphicFrame macro="">
      <xdr:nvGraphicFramePr>
        <xdr:cNvPr id="6" name="Chart 5">
          <a:extLst>
            <a:ext uri="{FF2B5EF4-FFF2-40B4-BE49-F238E27FC236}">
              <a16:creationId xmlns:a16="http://schemas.microsoft.com/office/drawing/2014/main" id="{3863C2B5-5E84-909E-78A9-BBAF77B82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396875</xdr:colOff>
      <xdr:row>2</xdr:row>
      <xdr:rowOff>85725</xdr:rowOff>
    </xdr:from>
    <xdr:to>
      <xdr:col>10</xdr:col>
      <xdr:colOff>441325</xdr:colOff>
      <xdr:row>17</xdr:row>
      <xdr:rowOff>66675</xdr:rowOff>
    </xdr:to>
    <xdr:graphicFrame macro="">
      <xdr:nvGraphicFramePr>
        <xdr:cNvPr id="5" name="Chart 4">
          <a:extLst>
            <a:ext uri="{FF2B5EF4-FFF2-40B4-BE49-F238E27FC236}">
              <a16:creationId xmlns:a16="http://schemas.microsoft.com/office/drawing/2014/main" id="{3659C208-4774-0967-84BC-7D4B70112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 refreshedDate="45972.19153611111" createdVersion="8" refreshedVersion="8" minRefreshableVersion="3" recordCount="501" xr:uid="{5B630CD2-4D04-4524-9E5D-C334A2850340}">
  <cacheSource type="worksheet">
    <worksheetSource ref="A1:K1048576" sheet="Mental_Health_and_Social_Media_"/>
  </cacheSource>
  <cacheFields count="10">
    <cacheField name="User_ID" numFmtId="0">
      <sharedItems containsBlank="1"/>
    </cacheField>
    <cacheField name="Age" numFmtId="0">
      <sharedItems containsString="0" containsBlank="1" containsNumber="1" containsInteger="1" minValue="16" maxValue="49"/>
    </cacheField>
    <cacheField name="Gender" numFmtId="0">
      <sharedItems containsBlank="1"/>
    </cacheField>
    <cacheField name="Daily_Screen_Time(hrs)" numFmtId="0">
      <sharedItems containsString="0" containsBlank="1" containsNumber="1" minValue="1" maxValue="10.8"/>
    </cacheField>
    <cacheField name="Sleep_Quality(1-10)" numFmtId="0">
      <sharedItems containsString="0" containsBlank="1" containsNumber="1" containsInteger="1" minValue="2" maxValue="10" count="10">
        <n v="7"/>
        <n v="6"/>
        <n v="4"/>
        <n v="5"/>
        <n v="8"/>
        <n v="9"/>
        <n v="3"/>
        <n v="10"/>
        <n v="2"/>
        <m/>
      </sharedItems>
    </cacheField>
    <cacheField name="Stress_Level(1-10)" numFmtId="0">
      <sharedItems containsString="0" containsBlank="1" containsNumber="1" containsInteger="1" minValue="2" maxValue="10"/>
    </cacheField>
    <cacheField name="Days_Without_Social_Media" numFmtId="0">
      <sharedItems containsString="0" containsBlank="1" containsNumber="1" containsInteger="1" minValue="0" maxValue="9"/>
    </cacheField>
    <cacheField name="Exercise_Frequency(week)" numFmtId="0">
      <sharedItems containsString="0" containsBlank="1" containsNumber="1" containsInteger="1" minValue="0" maxValue="7"/>
    </cacheField>
    <cacheField name="Social_Media_Platform" numFmtId="0">
      <sharedItems containsBlank="1"/>
    </cacheField>
    <cacheField name="Happiness_Index(1-10)" numFmtId="0">
      <sharedItems containsString="0" containsBlank="1" containsNumber="1" containsInteger="1" minValue="4"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 refreshedDate="45972.214653587966" createdVersion="8" refreshedVersion="8" minRefreshableVersion="3" recordCount="500" xr:uid="{15C2C972-C511-445C-9D61-156AD3D068CE}">
  <cacheSource type="worksheet">
    <worksheetSource ref="A1:L501" sheet="Mental_Health_and_Social_Media_"/>
  </cacheSource>
  <cacheFields count="10">
    <cacheField name="User_ID" numFmtId="0">
      <sharedItems/>
    </cacheField>
    <cacheField name="Age" numFmtId="0">
      <sharedItems containsSemiMixedTypes="0" containsString="0" containsNumber="1" containsInteger="1" minValue="16" maxValue="49" count="34">
        <n v="44"/>
        <n v="30"/>
        <n v="23"/>
        <n v="36"/>
        <n v="34"/>
        <n v="38"/>
        <n v="26"/>
        <n v="39"/>
        <n v="18"/>
        <n v="37"/>
        <n v="17"/>
        <n v="45"/>
        <n v="48"/>
        <n v="27"/>
        <n v="40"/>
        <n v="42"/>
        <n v="43"/>
        <n v="31"/>
        <n v="22"/>
        <n v="24"/>
        <n v="33"/>
        <n v="19"/>
        <n v="29"/>
        <n v="41"/>
        <n v="35"/>
        <n v="32"/>
        <n v="21"/>
        <n v="49"/>
        <n v="25"/>
        <n v="46"/>
        <n v="16"/>
        <n v="20"/>
        <n v="28"/>
        <n v="47"/>
      </sharedItems>
    </cacheField>
    <cacheField name="Gender" numFmtId="0">
      <sharedItems count="3">
        <s v="Male"/>
        <s v="Other"/>
        <s v="Female"/>
      </sharedItems>
    </cacheField>
    <cacheField name="Daily_Screen_Time(hrs)" numFmtId="0">
      <sharedItems containsSemiMixedTypes="0" containsString="0" containsNumber="1" minValue="1" maxValue="10.8" count="82">
        <n v="3.1"/>
        <n v="5.0999999999999996"/>
        <n v="7.4"/>
        <n v="5.7"/>
        <n v="7"/>
        <n v="6.6"/>
        <n v="7.8"/>
        <n v="4.7"/>
        <n v="2.8"/>
        <n v="5.4"/>
        <n v="6.3"/>
        <n v="7.5"/>
        <n v="7.1"/>
        <n v="3"/>
        <n v="6.4"/>
        <n v="3.6"/>
        <n v="5"/>
        <n v="6.2"/>
        <n v="2"/>
        <n v="4.3"/>
        <n v="6"/>
        <n v="6.8"/>
        <n v="5.6"/>
        <n v="7.7"/>
        <n v="4.5999999999999996"/>
        <n v="1"/>
        <n v="7.2"/>
        <n v="6.1"/>
        <n v="2.5"/>
        <n v="2.2999999999999998"/>
        <n v="3.9"/>
        <n v="6.9"/>
        <n v="4.0999999999999996"/>
        <n v="3.7"/>
        <n v="3.3"/>
        <n v="6.7"/>
        <n v="5.2"/>
        <n v="4"/>
        <n v="9.6999999999999993"/>
        <n v="7.6"/>
        <n v="8.4"/>
        <n v="2.7"/>
        <n v="4.4000000000000004"/>
        <n v="6.5"/>
        <n v="4.8"/>
        <n v="3.4"/>
        <n v="4.2"/>
        <n v="5.8"/>
        <n v="2.4"/>
        <n v="3.2"/>
        <n v="3.8"/>
        <n v="5.5"/>
        <n v="7.9"/>
        <n v="3.5"/>
        <n v="5.9"/>
        <n v="7.3"/>
        <n v="8.3000000000000007"/>
        <n v="8.1999999999999993"/>
        <n v="2.9"/>
        <n v="2.2000000000000002"/>
        <n v="5.3"/>
        <n v="1.8"/>
        <n v="8.5"/>
        <n v="4.9000000000000004"/>
        <n v="2.6"/>
        <n v="10"/>
        <n v="4.5"/>
        <n v="9.8000000000000007"/>
        <n v="8.6999999999999993"/>
        <n v="8.8000000000000007"/>
        <n v="9.4"/>
        <n v="10.8"/>
        <n v="2.1"/>
        <n v="9.1"/>
        <n v="8"/>
        <n v="1.5"/>
        <n v="1.7"/>
        <n v="8.1"/>
        <n v="9.5"/>
        <n v="9.3000000000000007"/>
        <n v="9"/>
        <n v="8.6"/>
      </sharedItems>
    </cacheField>
    <cacheField name="Sleep_Quality(1-10)" numFmtId="0">
      <sharedItems containsSemiMixedTypes="0" containsString="0" containsNumber="1" containsInteger="1" minValue="2" maxValue="10" count="9">
        <n v="7"/>
        <n v="6"/>
        <n v="4"/>
        <n v="5"/>
        <n v="8"/>
        <n v="9"/>
        <n v="3"/>
        <n v="10"/>
        <n v="2"/>
      </sharedItems>
    </cacheField>
    <cacheField name="Stress_Level(1-10)" numFmtId="0">
      <sharedItems containsSemiMixedTypes="0" containsString="0" containsNumber="1" containsInteger="1" minValue="2" maxValue="10" count="9">
        <n v="6"/>
        <n v="8"/>
        <n v="7"/>
        <n v="10"/>
        <n v="4"/>
        <n v="5"/>
        <n v="3"/>
        <n v="9"/>
        <n v="2"/>
      </sharedItems>
    </cacheField>
    <cacheField name="Days_Without_Social_Media" numFmtId="0">
      <sharedItems containsSemiMixedTypes="0" containsString="0" containsNumber="1" containsInteger="1" minValue="0" maxValue="9" count="9">
        <n v="2"/>
        <n v="5"/>
        <n v="1"/>
        <n v="4"/>
        <n v="6"/>
        <n v="0"/>
        <n v="3"/>
        <n v="7"/>
        <n v="9"/>
      </sharedItems>
    </cacheField>
    <cacheField name="Exercise_Frequency(week)" numFmtId="0">
      <sharedItems containsSemiMixedTypes="0" containsString="0" containsNumber="1" containsInteger="1" minValue="0" maxValue="7" count="8">
        <n v="5"/>
        <n v="3"/>
        <n v="1"/>
        <n v="0"/>
        <n v="4"/>
        <n v="2"/>
        <n v="7"/>
        <n v="6"/>
      </sharedItems>
    </cacheField>
    <cacheField name="Social_Media_Platform" numFmtId="0">
      <sharedItems count="6">
        <s v="Facebook"/>
        <s v="LinkedIn"/>
        <s v="YouTube"/>
        <s v="TikTok"/>
        <s v="X (Twitter)"/>
        <s v="Instagram"/>
      </sharedItems>
    </cacheField>
    <cacheField name="Happiness_Index(1-10)" numFmtId="0">
      <sharedItems containsSemiMixedTypes="0" containsString="0" containsNumber="1" containsInteger="1" minValue="4" maxValue="10" count="7">
        <n v="10"/>
        <n v="6"/>
        <n v="8"/>
        <n v="7"/>
        <n v="9"/>
        <n v="4"/>
        <n v="5"/>
      </sharedItems>
    </cacheField>
  </cacheFields>
  <extLst>
    <ext xmlns:x14="http://schemas.microsoft.com/office/spreadsheetml/2009/9/main" uri="{725AE2AE-9491-48be-B2B4-4EB974FC3084}">
      <x14:pivotCacheDefinition pivotCacheId="72611489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 refreshedDate="46031.818701041666" createdVersion="8" refreshedVersion="8" minRefreshableVersion="3" recordCount="500" xr:uid="{9173C835-0A05-4B03-836E-ECF230D49505}">
  <cacheSource type="worksheet">
    <worksheetSource ref="A1:K501" sheet="Mental_Health_and_Social_Media_"/>
  </cacheSource>
  <cacheFields count="11">
    <cacheField name="User_ID" numFmtId="0">
      <sharedItems/>
    </cacheField>
    <cacheField name="Age" numFmtId="0">
      <sharedItems containsSemiMixedTypes="0" containsString="0" containsNumber="1" containsInteger="1" minValue="16" maxValue="49"/>
    </cacheField>
    <cacheField name="Age Range" numFmtId="0">
      <sharedItems count="7">
        <s v="41-45"/>
        <s v="26–30"/>
        <s v="21–25"/>
        <s v="36-40"/>
        <s v="31-35"/>
        <s v="16–20"/>
        <s v="46+"/>
      </sharedItems>
    </cacheField>
    <cacheField name="Gender" numFmtId="0">
      <sharedItems/>
    </cacheField>
    <cacheField name="Daily_Screen_Time(hrs)" numFmtId="0">
      <sharedItems containsSemiMixedTypes="0" containsString="0" containsNumber="1" minValue="1" maxValue="10.8"/>
    </cacheField>
    <cacheField name="Sleep_Quality(1-10)" numFmtId="0">
      <sharedItems containsSemiMixedTypes="0" containsString="0" containsNumber="1" containsInteger="1" minValue="2" maxValue="10"/>
    </cacheField>
    <cacheField name="Stress_Level(1-10)" numFmtId="0">
      <sharedItems containsSemiMixedTypes="0" containsString="0" containsNumber="1" containsInteger="1" minValue="2" maxValue="10"/>
    </cacheField>
    <cacheField name="Days_Without_Social_Media" numFmtId="0">
      <sharedItems containsSemiMixedTypes="0" containsString="0" containsNumber="1" containsInteger="1" minValue="0" maxValue="9"/>
    </cacheField>
    <cacheField name="Exercise_Frequency(week)" numFmtId="0">
      <sharedItems containsSemiMixedTypes="0" containsString="0" containsNumber="1" containsInteger="1" minValue="0" maxValue="7"/>
    </cacheField>
    <cacheField name="Social_Media_Platform" numFmtId="0">
      <sharedItems/>
    </cacheField>
    <cacheField name="Happiness_Index(1-10)" numFmtId="0">
      <sharedItems containsSemiMixedTypes="0" containsString="0" containsNumber="1" containsInteger="1" minValue="4"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U001"/>
    <n v="44"/>
    <s v="Male"/>
    <n v="3.1"/>
    <x v="0"/>
    <n v="6"/>
    <n v="2"/>
    <n v="5"/>
    <s v="Facebook"/>
    <n v="10"/>
  </r>
  <r>
    <s v="U002"/>
    <n v="30"/>
    <s v="Other"/>
    <n v="5.0999999999999996"/>
    <x v="0"/>
    <n v="8"/>
    <n v="5"/>
    <n v="3"/>
    <s v="LinkedIn"/>
    <n v="10"/>
  </r>
  <r>
    <s v="U003"/>
    <n v="23"/>
    <s v="Other"/>
    <n v="7.4"/>
    <x v="1"/>
    <n v="7"/>
    <n v="1"/>
    <n v="3"/>
    <s v="YouTube"/>
    <n v="6"/>
  </r>
  <r>
    <s v="U004"/>
    <n v="36"/>
    <s v="Female"/>
    <n v="5.7"/>
    <x v="0"/>
    <n v="8"/>
    <n v="1"/>
    <n v="1"/>
    <s v="TikTok"/>
    <n v="8"/>
  </r>
  <r>
    <s v="U005"/>
    <n v="34"/>
    <s v="Female"/>
    <n v="7"/>
    <x v="2"/>
    <n v="7"/>
    <n v="5"/>
    <n v="1"/>
    <s v="X (Twitter)"/>
    <n v="8"/>
  </r>
  <r>
    <s v="U006"/>
    <n v="38"/>
    <s v="Male"/>
    <n v="6.6"/>
    <x v="3"/>
    <n v="7"/>
    <n v="4"/>
    <n v="3"/>
    <s v="LinkedIn"/>
    <n v="8"/>
  </r>
  <r>
    <s v="U007"/>
    <n v="26"/>
    <s v="Female"/>
    <n v="7.8"/>
    <x v="2"/>
    <n v="8"/>
    <n v="2"/>
    <n v="0"/>
    <s v="TikTok"/>
    <n v="7"/>
  </r>
  <r>
    <s v="U008"/>
    <n v="26"/>
    <s v="Female"/>
    <n v="7.4"/>
    <x v="3"/>
    <n v="6"/>
    <n v="1"/>
    <n v="4"/>
    <s v="Instagram"/>
    <n v="7"/>
  </r>
  <r>
    <s v="U009"/>
    <n v="39"/>
    <s v="Male"/>
    <n v="4.7"/>
    <x v="0"/>
    <n v="7"/>
    <n v="6"/>
    <n v="1"/>
    <s v="YouTube"/>
    <n v="9"/>
  </r>
  <r>
    <s v="U010"/>
    <n v="39"/>
    <s v="Female"/>
    <n v="6.6"/>
    <x v="1"/>
    <n v="8"/>
    <n v="0"/>
    <n v="2"/>
    <s v="Facebook"/>
    <n v="7"/>
  </r>
  <r>
    <s v="U011"/>
    <n v="18"/>
    <s v="Female"/>
    <n v="2.8"/>
    <x v="0"/>
    <n v="6"/>
    <n v="2"/>
    <n v="0"/>
    <s v="Instagram"/>
    <n v="7"/>
  </r>
  <r>
    <s v="U012"/>
    <n v="37"/>
    <s v="Other"/>
    <n v="5.4"/>
    <x v="3"/>
    <n v="7"/>
    <n v="3"/>
    <n v="2"/>
    <s v="Instagram"/>
    <n v="9"/>
  </r>
  <r>
    <s v="U013"/>
    <n v="17"/>
    <s v="Female"/>
    <n v="7"/>
    <x v="0"/>
    <n v="10"/>
    <n v="7"/>
    <n v="1"/>
    <s v="YouTube"/>
    <n v="8"/>
  </r>
  <r>
    <s v="U014"/>
    <n v="39"/>
    <s v="Female"/>
    <n v="5.7"/>
    <x v="3"/>
    <n v="7"/>
    <n v="4"/>
    <n v="0"/>
    <s v="Facebook"/>
    <n v="8"/>
  </r>
  <r>
    <s v="U015"/>
    <n v="45"/>
    <s v="Male"/>
    <n v="6.3"/>
    <x v="0"/>
    <n v="7"/>
    <n v="4"/>
    <n v="3"/>
    <s v="X (Twitter)"/>
    <n v="9"/>
  </r>
  <r>
    <s v="U016"/>
    <n v="17"/>
    <s v="Female"/>
    <n v="5.0999999999999996"/>
    <x v="0"/>
    <n v="6"/>
    <n v="2"/>
    <n v="5"/>
    <s v="LinkedIn"/>
    <n v="10"/>
  </r>
  <r>
    <s v="U017"/>
    <n v="36"/>
    <s v="Female"/>
    <n v="7.5"/>
    <x v="3"/>
    <n v="8"/>
    <n v="4"/>
    <n v="4"/>
    <s v="Facebook"/>
    <n v="7"/>
  </r>
  <r>
    <s v="U018"/>
    <n v="48"/>
    <s v="Male"/>
    <n v="5.4"/>
    <x v="1"/>
    <n v="4"/>
    <n v="3"/>
    <n v="4"/>
    <s v="TikTok"/>
    <n v="10"/>
  </r>
  <r>
    <s v="U019"/>
    <n v="27"/>
    <s v="Male"/>
    <n v="4.7"/>
    <x v="1"/>
    <n v="6"/>
    <n v="0"/>
    <n v="2"/>
    <s v="Instagram"/>
    <n v="9"/>
  </r>
  <r>
    <s v="U020"/>
    <n v="37"/>
    <s v="Male"/>
    <n v="7.1"/>
    <x v="1"/>
    <n v="6"/>
    <n v="5"/>
    <n v="4"/>
    <s v="TikTok"/>
    <n v="10"/>
  </r>
  <r>
    <s v="U021"/>
    <n v="40"/>
    <s v="Female"/>
    <n v="3"/>
    <x v="4"/>
    <n v="5"/>
    <n v="5"/>
    <n v="4"/>
    <s v="X (Twitter)"/>
    <n v="10"/>
  </r>
  <r>
    <s v="U022"/>
    <n v="42"/>
    <s v="Other"/>
    <n v="6.4"/>
    <x v="0"/>
    <n v="6"/>
    <n v="5"/>
    <n v="3"/>
    <s v="TikTok"/>
    <n v="10"/>
  </r>
  <r>
    <s v="U023"/>
    <n v="43"/>
    <s v="Male"/>
    <n v="3.6"/>
    <x v="4"/>
    <n v="5"/>
    <n v="3"/>
    <n v="1"/>
    <s v="Facebook"/>
    <n v="9"/>
  </r>
  <r>
    <s v="U024"/>
    <n v="31"/>
    <s v="Female"/>
    <n v="7.8"/>
    <x v="3"/>
    <n v="8"/>
    <n v="1"/>
    <n v="2"/>
    <s v="TikTok"/>
    <n v="7"/>
  </r>
  <r>
    <s v="U025"/>
    <n v="30"/>
    <s v="Male"/>
    <n v="5"/>
    <x v="1"/>
    <n v="6"/>
    <n v="0"/>
    <n v="5"/>
    <s v="X (Twitter)"/>
    <n v="8"/>
  </r>
  <r>
    <s v="U026"/>
    <n v="18"/>
    <s v="Other"/>
    <n v="5.7"/>
    <x v="1"/>
    <n v="7"/>
    <n v="3"/>
    <n v="2"/>
    <s v="X (Twitter)"/>
    <n v="8"/>
  </r>
  <r>
    <s v="U027"/>
    <n v="22"/>
    <s v="Female"/>
    <n v="6.2"/>
    <x v="3"/>
    <n v="8"/>
    <n v="5"/>
    <n v="0"/>
    <s v="X (Twitter)"/>
    <n v="6"/>
  </r>
  <r>
    <s v="U028"/>
    <n v="36"/>
    <s v="Female"/>
    <n v="2"/>
    <x v="4"/>
    <n v="4"/>
    <n v="5"/>
    <n v="0"/>
    <s v="Facebook"/>
    <n v="10"/>
  </r>
  <r>
    <s v="U029"/>
    <n v="24"/>
    <s v="Male"/>
    <n v="4.3"/>
    <x v="1"/>
    <n v="6"/>
    <n v="5"/>
    <n v="2"/>
    <s v="X (Twitter)"/>
    <n v="10"/>
  </r>
  <r>
    <s v="U030"/>
    <n v="33"/>
    <s v="Male"/>
    <n v="7.4"/>
    <x v="1"/>
    <n v="10"/>
    <n v="3"/>
    <n v="4"/>
    <s v="Instagram"/>
    <n v="8"/>
  </r>
  <r>
    <s v="U031"/>
    <n v="19"/>
    <s v="Male"/>
    <n v="7.1"/>
    <x v="3"/>
    <n v="8"/>
    <n v="5"/>
    <n v="2"/>
    <s v="X (Twitter)"/>
    <n v="9"/>
  </r>
  <r>
    <s v="U032"/>
    <n v="40"/>
    <s v="Male"/>
    <n v="6"/>
    <x v="1"/>
    <n v="7"/>
    <n v="5"/>
    <n v="4"/>
    <s v="TikTok"/>
    <n v="7"/>
  </r>
  <r>
    <s v="U033"/>
    <n v="29"/>
    <s v="Female"/>
    <n v="3.1"/>
    <x v="4"/>
    <n v="4"/>
    <n v="2"/>
    <n v="2"/>
    <s v="LinkedIn"/>
    <n v="10"/>
  </r>
  <r>
    <s v="U034"/>
    <n v="24"/>
    <s v="Female"/>
    <n v="6.6"/>
    <x v="1"/>
    <n v="7"/>
    <n v="4"/>
    <n v="0"/>
    <s v="TikTok"/>
    <n v="7"/>
  </r>
  <r>
    <s v="U035"/>
    <n v="41"/>
    <s v="Other"/>
    <n v="6.8"/>
    <x v="4"/>
    <n v="7"/>
    <n v="2"/>
    <n v="2"/>
    <s v="LinkedIn"/>
    <n v="9"/>
  </r>
  <r>
    <s v="U036"/>
    <n v="17"/>
    <s v="Other"/>
    <n v="5.6"/>
    <x v="1"/>
    <n v="7"/>
    <n v="4"/>
    <n v="3"/>
    <s v="TikTok"/>
    <n v="7"/>
  </r>
  <r>
    <s v="U037"/>
    <n v="35"/>
    <s v="Female"/>
    <n v="7.7"/>
    <x v="2"/>
    <n v="8"/>
    <n v="0"/>
    <n v="3"/>
    <s v="Facebook"/>
    <n v="8"/>
  </r>
  <r>
    <s v="U038"/>
    <n v="43"/>
    <s v="Female"/>
    <n v="4.3"/>
    <x v="4"/>
    <n v="4"/>
    <n v="1"/>
    <n v="1"/>
    <s v="TikTok"/>
    <n v="10"/>
  </r>
  <r>
    <s v="U039"/>
    <n v="22"/>
    <s v="Other"/>
    <n v="4.5999999999999996"/>
    <x v="2"/>
    <n v="6"/>
    <n v="5"/>
    <n v="2"/>
    <s v="Facebook"/>
    <n v="9"/>
  </r>
  <r>
    <s v="U040"/>
    <n v="23"/>
    <s v="Female"/>
    <n v="1"/>
    <x v="5"/>
    <n v="5"/>
    <n v="5"/>
    <n v="7"/>
    <s v="Facebook"/>
    <n v="10"/>
  </r>
  <r>
    <s v="U041"/>
    <n v="29"/>
    <s v="Male"/>
    <n v="7.2"/>
    <x v="3"/>
    <n v="7"/>
    <n v="4"/>
    <n v="1"/>
    <s v="X (Twitter)"/>
    <n v="10"/>
  </r>
  <r>
    <s v="U042"/>
    <n v="32"/>
    <s v="Male"/>
    <n v="6.1"/>
    <x v="3"/>
    <n v="6"/>
    <n v="3"/>
    <n v="3"/>
    <s v="Instagram"/>
    <n v="7"/>
  </r>
  <r>
    <s v="U043"/>
    <n v="19"/>
    <s v="Male"/>
    <n v="2.5"/>
    <x v="5"/>
    <n v="3"/>
    <n v="0"/>
    <n v="0"/>
    <s v="LinkedIn"/>
    <n v="10"/>
  </r>
  <r>
    <s v="U044"/>
    <n v="17"/>
    <s v="Other"/>
    <n v="2.2999999999999998"/>
    <x v="5"/>
    <n v="3"/>
    <n v="3"/>
    <n v="4"/>
    <s v="X (Twitter)"/>
    <n v="10"/>
  </r>
  <r>
    <s v="U045"/>
    <n v="21"/>
    <s v="Female"/>
    <n v="3.9"/>
    <x v="1"/>
    <n v="6"/>
    <n v="4"/>
    <n v="1"/>
    <s v="X (Twitter)"/>
    <n v="8"/>
  </r>
  <r>
    <s v="U046"/>
    <n v="19"/>
    <s v="Male"/>
    <n v="6.9"/>
    <x v="3"/>
    <n v="7"/>
    <n v="2"/>
    <n v="3"/>
    <s v="Facebook"/>
    <n v="9"/>
  </r>
  <r>
    <s v="U047"/>
    <n v="44"/>
    <s v="Female"/>
    <n v="5"/>
    <x v="2"/>
    <n v="7"/>
    <n v="2"/>
    <n v="1"/>
    <s v="Facebook"/>
    <n v="8"/>
  </r>
  <r>
    <s v="U048"/>
    <n v="33"/>
    <s v="Female"/>
    <n v="4.0999999999999996"/>
    <x v="4"/>
    <n v="7"/>
    <n v="6"/>
    <n v="3"/>
    <s v="LinkedIn"/>
    <n v="9"/>
  </r>
  <r>
    <s v="U049"/>
    <n v="41"/>
    <s v="Male"/>
    <n v="3.7"/>
    <x v="4"/>
    <n v="6"/>
    <n v="3"/>
    <n v="1"/>
    <s v="TikTok"/>
    <n v="9"/>
  </r>
  <r>
    <s v="U050"/>
    <n v="49"/>
    <s v="Male"/>
    <n v="3.6"/>
    <x v="0"/>
    <n v="5"/>
    <n v="4"/>
    <n v="1"/>
    <s v="TikTok"/>
    <n v="9"/>
  </r>
  <r>
    <s v="U051"/>
    <n v="25"/>
    <s v="Female"/>
    <n v="2"/>
    <x v="5"/>
    <n v="4"/>
    <n v="5"/>
    <n v="3"/>
    <s v="X (Twitter)"/>
    <n v="10"/>
  </r>
  <r>
    <s v="U052"/>
    <n v="29"/>
    <s v="Female"/>
    <n v="3.3"/>
    <x v="0"/>
    <n v="5"/>
    <n v="1"/>
    <n v="2"/>
    <s v="YouTube"/>
    <n v="10"/>
  </r>
  <r>
    <s v="U053"/>
    <n v="46"/>
    <s v="Female"/>
    <n v="3.6"/>
    <x v="0"/>
    <n v="5"/>
    <n v="3"/>
    <n v="3"/>
    <s v="YouTube"/>
    <n v="10"/>
  </r>
  <r>
    <s v="U054"/>
    <n v="30"/>
    <s v="Female"/>
    <n v="6.7"/>
    <x v="1"/>
    <n v="8"/>
    <n v="6"/>
    <n v="2"/>
    <s v="TikTok"/>
    <n v="7"/>
  </r>
  <r>
    <s v="U055"/>
    <n v="23"/>
    <s v="Female"/>
    <n v="5.2"/>
    <x v="1"/>
    <n v="6"/>
    <n v="7"/>
    <n v="3"/>
    <s v="YouTube"/>
    <n v="8"/>
  </r>
  <r>
    <s v="U056"/>
    <n v="29"/>
    <s v="Female"/>
    <n v="4"/>
    <x v="0"/>
    <n v="3"/>
    <n v="3"/>
    <n v="3"/>
    <s v="TikTok"/>
    <n v="10"/>
  </r>
  <r>
    <s v="U057"/>
    <n v="38"/>
    <s v="Female"/>
    <n v="9.6999999999999993"/>
    <x v="6"/>
    <n v="9"/>
    <n v="3"/>
    <n v="2"/>
    <s v="Facebook"/>
    <n v="4"/>
  </r>
  <r>
    <s v="U058"/>
    <n v="36"/>
    <s v="Female"/>
    <n v="4.3"/>
    <x v="0"/>
    <n v="6"/>
    <n v="4"/>
    <n v="1"/>
    <s v="X (Twitter)"/>
    <n v="9"/>
  </r>
  <r>
    <s v="U059"/>
    <n v="31"/>
    <s v="Male"/>
    <n v="7.6"/>
    <x v="3"/>
    <n v="10"/>
    <n v="3"/>
    <n v="2"/>
    <s v="Instagram"/>
    <n v="6"/>
  </r>
  <r>
    <s v="U060"/>
    <n v="33"/>
    <s v="Male"/>
    <n v="8.4"/>
    <x v="2"/>
    <n v="8"/>
    <n v="6"/>
    <n v="4"/>
    <s v="X (Twitter)"/>
    <n v="7"/>
  </r>
  <r>
    <s v="U061"/>
    <n v="39"/>
    <s v="Male"/>
    <n v="2.7"/>
    <x v="5"/>
    <n v="5"/>
    <n v="1"/>
    <n v="3"/>
    <s v="TikTok"/>
    <n v="10"/>
  </r>
  <r>
    <s v="U062"/>
    <n v="41"/>
    <s v="Female"/>
    <n v="5.6"/>
    <x v="1"/>
    <n v="7"/>
    <n v="2"/>
    <n v="1"/>
    <s v="TikTok"/>
    <n v="9"/>
  </r>
  <r>
    <s v="U063"/>
    <n v="40"/>
    <s v="Female"/>
    <n v="4.5999999999999996"/>
    <x v="0"/>
    <n v="7"/>
    <n v="1"/>
    <n v="3"/>
    <s v="X (Twitter)"/>
    <n v="10"/>
  </r>
  <r>
    <s v="U064"/>
    <n v="44"/>
    <s v="Female"/>
    <n v="4.4000000000000004"/>
    <x v="1"/>
    <n v="7"/>
    <n v="1"/>
    <n v="3"/>
    <s v="LinkedIn"/>
    <n v="9"/>
  </r>
  <r>
    <s v="U065"/>
    <n v="30"/>
    <s v="Male"/>
    <n v="6.5"/>
    <x v="2"/>
    <n v="9"/>
    <n v="4"/>
    <n v="3"/>
    <s v="TikTok"/>
    <n v="5"/>
  </r>
  <r>
    <s v="U066"/>
    <n v="16"/>
    <s v="Male"/>
    <n v="4.4000000000000004"/>
    <x v="4"/>
    <n v="4"/>
    <n v="5"/>
    <n v="1"/>
    <s v="YouTube"/>
    <n v="10"/>
  </r>
  <r>
    <s v="U067"/>
    <n v="40"/>
    <s v="Male"/>
    <n v="4.5999999999999996"/>
    <x v="0"/>
    <n v="6"/>
    <n v="2"/>
    <n v="1"/>
    <s v="YouTube"/>
    <n v="10"/>
  </r>
  <r>
    <s v="U068"/>
    <n v="22"/>
    <s v="Male"/>
    <n v="5.2"/>
    <x v="5"/>
    <n v="7"/>
    <n v="5"/>
    <n v="1"/>
    <s v="TikTok"/>
    <n v="10"/>
  </r>
  <r>
    <s v="U069"/>
    <n v="24"/>
    <s v="Female"/>
    <n v="4.8"/>
    <x v="1"/>
    <n v="7"/>
    <n v="5"/>
    <n v="2"/>
    <s v="TikTok"/>
    <n v="7"/>
  </r>
  <r>
    <s v="U070"/>
    <n v="39"/>
    <s v="Male"/>
    <n v="3.4"/>
    <x v="4"/>
    <n v="6"/>
    <n v="7"/>
    <n v="3"/>
    <s v="LinkedIn"/>
    <n v="10"/>
  </r>
  <r>
    <s v="U071"/>
    <n v="16"/>
    <s v="Male"/>
    <n v="6.9"/>
    <x v="3"/>
    <n v="8"/>
    <n v="3"/>
    <n v="3"/>
    <s v="YouTube"/>
    <n v="5"/>
  </r>
  <r>
    <s v="U072"/>
    <n v="23"/>
    <s v="Female"/>
    <n v="7.4"/>
    <x v="1"/>
    <n v="7"/>
    <n v="2"/>
    <n v="3"/>
    <s v="TikTok"/>
    <n v="8"/>
  </r>
  <r>
    <s v="U073"/>
    <n v="39"/>
    <s v="Male"/>
    <n v="6.1"/>
    <x v="3"/>
    <n v="5"/>
    <n v="1"/>
    <n v="5"/>
    <s v="TikTok"/>
    <n v="10"/>
  </r>
  <r>
    <s v="U074"/>
    <n v="26"/>
    <s v="Female"/>
    <n v="4.8"/>
    <x v="1"/>
    <n v="6"/>
    <n v="1"/>
    <n v="4"/>
    <s v="LinkedIn"/>
    <n v="8"/>
  </r>
  <r>
    <s v="U075"/>
    <n v="32"/>
    <s v="Female"/>
    <n v="4.2"/>
    <x v="4"/>
    <n v="8"/>
    <n v="5"/>
    <n v="2"/>
    <s v="LinkedIn"/>
    <n v="8"/>
  </r>
  <r>
    <s v="U076"/>
    <n v="23"/>
    <s v="Male"/>
    <n v="4.2"/>
    <x v="0"/>
    <n v="5"/>
    <n v="0"/>
    <n v="1"/>
    <s v="X (Twitter)"/>
    <n v="10"/>
  </r>
  <r>
    <s v="U077"/>
    <n v="48"/>
    <s v="Female"/>
    <n v="9.6999999999999993"/>
    <x v="2"/>
    <n v="8"/>
    <n v="5"/>
    <n v="1"/>
    <s v="LinkedIn"/>
    <n v="5"/>
  </r>
  <r>
    <s v="U078"/>
    <n v="20"/>
    <s v="Female"/>
    <n v="7.2"/>
    <x v="1"/>
    <n v="9"/>
    <n v="1"/>
    <n v="2"/>
    <s v="Instagram"/>
    <n v="6"/>
  </r>
  <r>
    <s v="U079"/>
    <n v="43"/>
    <s v="Other"/>
    <n v="4"/>
    <x v="0"/>
    <n v="7"/>
    <n v="2"/>
    <n v="4"/>
    <s v="YouTube"/>
    <n v="9"/>
  </r>
  <r>
    <s v="U080"/>
    <n v="22"/>
    <s v="Male"/>
    <n v="5.8"/>
    <x v="1"/>
    <n v="8"/>
    <n v="3"/>
    <n v="2"/>
    <s v="X (Twitter)"/>
    <n v="7"/>
  </r>
  <r>
    <s v="U081"/>
    <n v="24"/>
    <s v="Female"/>
    <n v="4.8"/>
    <x v="1"/>
    <n v="7"/>
    <n v="2"/>
    <n v="2"/>
    <s v="Instagram"/>
    <n v="8"/>
  </r>
  <r>
    <s v="U082"/>
    <n v="23"/>
    <s v="Female"/>
    <n v="6.6"/>
    <x v="1"/>
    <n v="8"/>
    <n v="5"/>
    <n v="1"/>
    <s v="TikTok"/>
    <n v="8"/>
  </r>
  <r>
    <s v="U083"/>
    <n v="27"/>
    <s v="Male"/>
    <n v="6.5"/>
    <x v="0"/>
    <n v="9"/>
    <n v="7"/>
    <n v="2"/>
    <s v="TikTok"/>
    <n v="8"/>
  </r>
  <r>
    <s v="U084"/>
    <n v="49"/>
    <s v="Male"/>
    <n v="7.5"/>
    <x v="2"/>
    <n v="7"/>
    <n v="2"/>
    <n v="4"/>
    <s v="X (Twitter)"/>
    <n v="8"/>
  </r>
  <r>
    <s v="U085"/>
    <n v="48"/>
    <s v="Other"/>
    <n v="4"/>
    <x v="0"/>
    <n v="5"/>
    <n v="2"/>
    <n v="5"/>
    <s v="LinkedIn"/>
    <n v="10"/>
  </r>
  <r>
    <s v="U086"/>
    <n v="38"/>
    <s v="Female"/>
    <n v="5.7"/>
    <x v="3"/>
    <n v="6"/>
    <n v="3"/>
    <n v="2"/>
    <s v="TikTok"/>
    <n v="9"/>
  </r>
  <r>
    <s v="U087"/>
    <n v="39"/>
    <s v="Male"/>
    <n v="2.4"/>
    <x v="0"/>
    <n v="4"/>
    <n v="4"/>
    <n v="2"/>
    <s v="Facebook"/>
    <n v="10"/>
  </r>
  <r>
    <s v="U088"/>
    <n v="37"/>
    <s v="Female"/>
    <n v="3.2"/>
    <x v="4"/>
    <n v="7"/>
    <n v="3"/>
    <n v="1"/>
    <s v="X (Twitter)"/>
    <n v="10"/>
  </r>
  <r>
    <s v="U089"/>
    <n v="42"/>
    <s v="Male"/>
    <n v="7.1"/>
    <x v="6"/>
    <n v="8"/>
    <n v="6"/>
    <n v="5"/>
    <s v="Instagram"/>
    <n v="6"/>
  </r>
  <r>
    <s v="U090"/>
    <n v="16"/>
    <s v="Male"/>
    <n v="3.8"/>
    <x v="7"/>
    <n v="6"/>
    <n v="5"/>
    <n v="0"/>
    <s v="X (Twitter)"/>
    <n v="10"/>
  </r>
  <r>
    <s v="U091"/>
    <n v="29"/>
    <s v="Male"/>
    <n v="4"/>
    <x v="1"/>
    <n v="4"/>
    <n v="1"/>
    <n v="4"/>
    <s v="YouTube"/>
    <n v="9"/>
  </r>
  <r>
    <s v="U092"/>
    <n v="18"/>
    <s v="Male"/>
    <n v="5.5"/>
    <x v="1"/>
    <n v="6"/>
    <n v="4"/>
    <n v="2"/>
    <s v="LinkedIn"/>
    <n v="9"/>
  </r>
  <r>
    <s v="U093"/>
    <n v="16"/>
    <s v="Male"/>
    <n v="6.8"/>
    <x v="0"/>
    <n v="6"/>
    <n v="6"/>
    <n v="2"/>
    <s v="LinkedIn"/>
    <n v="9"/>
  </r>
  <r>
    <s v="U094"/>
    <n v="20"/>
    <s v="Male"/>
    <n v="3.6"/>
    <x v="0"/>
    <n v="7"/>
    <n v="2"/>
    <n v="1"/>
    <s v="X (Twitter)"/>
    <n v="8"/>
  </r>
  <r>
    <s v="U095"/>
    <n v="41"/>
    <s v="Female"/>
    <n v="1"/>
    <x v="0"/>
    <n v="5"/>
    <n v="2"/>
    <n v="6"/>
    <s v="TikTok"/>
    <n v="10"/>
  </r>
  <r>
    <s v="U096"/>
    <n v="29"/>
    <s v="Male"/>
    <n v="3.9"/>
    <x v="0"/>
    <n v="6"/>
    <n v="2"/>
    <n v="3"/>
    <s v="TikTok"/>
    <n v="10"/>
  </r>
  <r>
    <s v="U097"/>
    <n v="42"/>
    <s v="Male"/>
    <n v="7.7"/>
    <x v="2"/>
    <n v="7"/>
    <n v="2"/>
    <n v="3"/>
    <s v="Facebook"/>
    <n v="8"/>
  </r>
  <r>
    <s v="U098"/>
    <n v="24"/>
    <s v="Female"/>
    <n v="6.1"/>
    <x v="2"/>
    <n v="9"/>
    <n v="0"/>
    <n v="4"/>
    <s v="Facebook"/>
    <n v="6"/>
  </r>
  <r>
    <s v="U099"/>
    <n v="30"/>
    <s v="Female"/>
    <n v="7.9"/>
    <x v="3"/>
    <n v="8"/>
    <n v="0"/>
    <n v="2"/>
    <s v="LinkedIn"/>
    <n v="8"/>
  </r>
  <r>
    <s v="U100"/>
    <n v="30"/>
    <s v="Female"/>
    <n v="3.5"/>
    <x v="4"/>
    <n v="4"/>
    <n v="3"/>
    <n v="3"/>
    <s v="Facebook"/>
    <n v="10"/>
  </r>
  <r>
    <s v="U101"/>
    <n v="41"/>
    <s v="Male"/>
    <n v="2.5"/>
    <x v="5"/>
    <n v="4"/>
    <n v="6"/>
    <n v="3"/>
    <s v="Instagram"/>
    <n v="10"/>
  </r>
  <r>
    <s v="U102"/>
    <n v="28"/>
    <s v="Male"/>
    <n v="6.3"/>
    <x v="3"/>
    <n v="7"/>
    <n v="2"/>
    <n v="2"/>
    <s v="Facebook"/>
    <n v="7"/>
  </r>
  <r>
    <s v="U103"/>
    <n v="47"/>
    <s v="Male"/>
    <n v="5.9"/>
    <x v="2"/>
    <n v="7"/>
    <n v="2"/>
    <n v="4"/>
    <s v="Instagram"/>
    <n v="7"/>
  </r>
  <r>
    <s v="U104"/>
    <n v="47"/>
    <s v="Male"/>
    <n v="6"/>
    <x v="1"/>
    <n v="7"/>
    <n v="6"/>
    <n v="2"/>
    <s v="Facebook"/>
    <n v="9"/>
  </r>
  <r>
    <s v="U105"/>
    <n v="19"/>
    <s v="Male"/>
    <n v="7.2"/>
    <x v="3"/>
    <n v="6"/>
    <n v="1"/>
    <n v="0"/>
    <s v="LinkedIn"/>
    <n v="9"/>
  </r>
  <r>
    <s v="U106"/>
    <n v="45"/>
    <s v="Male"/>
    <n v="6.3"/>
    <x v="0"/>
    <n v="8"/>
    <n v="0"/>
    <n v="2"/>
    <s v="LinkedIn"/>
    <n v="6"/>
  </r>
  <r>
    <s v="U107"/>
    <n v="38"/>
    <s v="Male"/>
    <n v="6.2"/>
    <x v="0"/>
    <n v="7"/>
    <n v="1"/>
    <n v="3"/>
    <s v="Instagram"/>
    <n v="9"/>
  </r>
  <r>
    <s v="U108"/>
    <n v="30"/>
    <s v="Male"/>
    <n v="6.8"/>
    <x v="0"/>
    <n v="7"/>
    <n v="2"/>
    <n v="1"/>
    <s v="X (Twitter)"/>
    <n v="10"/>
  </r>
  <r>
    <s v="U109"/>
    <n v="44"/>
    <s v="Male"/>
    <n v="6.4"/>
    <x v="1"/>
    <n v="8"/>
    <n v="0"/>
    <n v="1"/>
    <s v="LinkedIn"/>
    <n v="7"/>
  </r>
  <r>
    <s v="U110"/>
    <n v="28"/>
    <s v="Male"/>
    <n v="7"/>
    <x v="1"/>
    <n v="6"/>
    <n v="3"/>
    <n v="2"/>
    <s v="X (Twitter)"/>
    <n v="8"/>
  </r>
  <r>
    <s v="U111"/>
    <n v="47"/>
    <s v="Male"/>
    <n v="7.3"/>
    <x v="2"/>
    <n v="6"/>
    <n v="5"/>
    <n v="4"/>
    <s v="TikTok"/>
    <n v="8"/>
  </r>
  <r>
    <s v="U112"/>
    <n v="22"/>
    <s v="Female"/>
    <n v="8.3000000000000007"/>
    <x v="3"/>
    <n v="10"/>
    <n v="0"/>
    <n v="2"/>
    <s v="Instagram"/>
    <n v="6"/>
  </r>
  <r>
    <s v="U113"/>
    <n v="37"/>
    <s v="Female"/>
    <n v="4.3"/>
    <x v="1"/>
    <n v="8"/>
    <n v="3"/>
    <n v="5"/>
    <s v="LinkedIn"/>
    <n v="9"/>
  </r>
  <r>
    <s v="U114"/>
    <n v="43"/>
    <s v="Male"/>
    <n v="6.4"/>
    <x v="1"/>
    <n v="7"/>
    <n v="4"/>
    <n v="2"/>
    <s v="YouTube"/>
    <n v="7"/>
  </r>
  <r>
    <s v="U115"/>
    <n v="17"/>
    <s v="Female"/>
    <n v="4.8"/>
    <x v="0"/>
    <n v="6"/>
    <n v="3"/>
    <n v="3"/>
    <s v="TikTok"/>
    <n v="10"/>
  </r>
  <r>
    <s v="U116"/>
    <n v="21"/>
    <s v="Female"/>
    <n v="4"/>
    <x v="5"/>
    <n v="5"/>
    <n v="3"/>
    <n v="2"/>
    <s v="X (Twitter)"/>
    <n v="10"/>
  </r>
  <r>
    <s v="U117"/>
    <n v="43"/>
    <s v="Male"/>
    <n v="4.3"/>
    <x v="0"/>
    <n v="6"/>
    <n v="3"/>
    <n v="4"/>
    <s v="LinkedIn"/>
    <n v="9"/>
  </r>
  <r>
    <s v="U118"/>
    <n v="43"/>
    <s v="Female"/>
    <n v="6.4"/>
    <x v="1"/>
    <n v="7"/>
    <n v="1"/>
    <n v="1"/>
    <s v="Instagram"/>
    <n v="9"/>
  </r>
  <r>
    <s v="U119"/>
    <n v="35"/>
    <s v="Female"/>
    <n v="6.3"/>
    <x v="1"/>
    <n v="7"/>
    <n v="6"/>
    <n v="4"/>
    <s v="Facebook"/>
    <n v="9"/>
  </r>
  <r>
    <s v="U120"/>
    <n v="45"/>
    <s v="Male"/>
    <n v="6.2"/>
    <x v="3"/>
    <n v="8"/>
    <n v="5"/>
    <n v="3"/>
    <s v="YouTube"/>
    <n v="8"/>
  </r>
  <r>
    <s v="U121"/>
    <n v="26"/>
    <s v="Male"/>
    <n v="5.0999999999999996"/>
    <x v="1"/>
    <n v="5"/>
    <n v="5"/>
    <n v="2"/>
    <s v="X (Twitter)"/>
    <n v="9"/>
  </r>
  <r>
    <s v="U122"/>
    <n v="43"/>
    <s v="Female"/>
    <n v="5.5"/>
    <x v="4"/>
    <n v="6"/>
    <n v="5"/>
    <n v="2"/>
    <s v="TikTok"/>
    <n v="10"/>
  </r>
  <r>
    <s v="U123"/>
    <n v="40"/>
    <s v="Female"/>
    <n v="7"/>
    <x v="2"/>
    <n v="6"/>
    <n v="0"/>
    <n v="5"/>
    <s v="Instagram"/>
    <n v="8"/>
  </r>
  <r>
    <s v="U124"/>
    <n v="48"/>
    <s v="Male"/>
    <n v="2.8"/>
    <x v="0"/>
    <n v="5"/>
    <n v="5"/>
    <n v="3"/>
    <s v="YouTube"/>
    <n v="10"/>
  </r>
  <r>
    <s v="U125"/>
    <n v="16"/>
    <s v="Male"/>
    <n v="5.5"/>
    <x v="0"/>
    <n v="7"/>
    <n v="4"/>
    <n v="1"/>
    <s v="Instagram"/>
    <n v="9"/>
  </r>
  <r>
    <s v="U126"/>
    <n v="42"/>
    <s v="Male"/>
    <n v="5.7"/>
    <x v="0"/>
    <n v="7"/>
    <n v="0"/>
    <n v="1"/>
    <s v="LinkedIn"/>
    <n v="9"/>
  </r>
  <r>
    <s v="U127"/>
    <n v="28"/>
    <s v="Female"/>
    <n v="6.9"/>
    <x v="3"/>
    <n v="8"/>
    <n v="3"/>
    <n v="3"/>
    <s v="Facebook"/>
    <n v="8"/>
  </r>
  <r>
    <s v="U128"/>
    <n v="18"/>
    <s v="Female"/>
    <n v="3.1"/>
    <x v="0"/>
    <n v="6"/>
    <n v="4"/>
    <n v="3"/>
    <s v="TikTok"/>
    <n v="9"/>
  </r>
  <r>
    <s v="U129"/>
    <n v="21"/>
    <s v="Male"/>
    <n v="8.1999999999999993"/>
    <x v="3"/>
    <n v="7"/>
    <n v="6"/>
    <n v="4"/>
    <s v="Instagram"/>
    <n v="7"/>
  </r>
  <r>
    <s v="U130"/>
    <n v="23"/>
    <s v="Male"/>
    <n v="5.9"/>
    <x v="3"/>
    <n v="5"/>
    <n v="4"/>
    <n v="0"/>
    <s v="X (Twitter)"/>
    <n v="9"/>
  </r>
  <r>
    <s v="U131"/>
    <n v="42"/>
    <s v="Female"/>
    <n v="6"/>
    <x v="3"/>
    <n v="8"/>
    <n v="1"/>
    <n v="1"/>
    <s v="LinkedIn"/>
    <n v="7"/>
  </r>
  <r>
    <s v="U132"/>
    <n v="24"/>
    <s v="Male"/>
    <n v="4.8"/>
    <x v="4"/>
    <n v="4"/>
    <n v="6"/>
    <n v="4"/>
    <s v="LinkedIn"/>
    <n v="10"/>
  </r>
  <r>
    <s v="U133"/>
    <n v="48"/>
    <s v="Male"/>
    <n v="6.5"/>
    <x v="1"/>
    <n v="8"/>
    <n v="3"/>
    <n v="3"/>
    <s v="TikTok"/>
    <n v="8"/>
  </r>
  <r>
    <s v="U134"/>
    <n v="39"/>
    <s v="Female"/>
    <n v="5.6"/>
    <x v="4"/>
    <n v="6"/>
    <n v="2"/>
    <n v="3"/>
    <s v="LinkedIn"/>
    <n v="9"/>
  </r>
  <r>
    <s v="U135"/>
    <n v="30"/>
    <s v="Female"/>
    <n v="7.7"/>
    <x v="2"/>
    <n v="10"/>
    <n v="2"/>
    <n v="1"/>
    <s v="X (Twitter)"/>
    <n v="8"/>
  </r>
  <r>
    <s v="U136"/>
    <n v="47"/>
    <s v="Female"/>
    <n v="2.9"/>
    <x v="4"/>
    <n v="5"/>
    <n v="0"/>
    <n v="1"/>
    <s v="Instagram"/>
    <n v="10"/>
  </r>
  <r>
    <s v="U137"/>
    <n v="47"/>
    <s v="Female"/>
    <n v="5.8"/>
    <x v="1"/>
    <n v="7"/>
    <n v="3"/>
    <n v="4"/>
    <s v="TikTok"/>
    <n v="10"/>
  </r>
  <r>
    <s v="U138"/>
    <n v="39"/>
    <s v="Male"/>
    <n v="6.2"/>
    <x v="3"/>
    <n v="8"/>
    <n v="4"/>
    <n v="4"/>
    <s v="LinkedIn"/>
    <n v="7"/>
  </r>
  <r>
    <s v="U139"/>
    <n v="27"/>
    <s v="Male"/>
    <n v="5.2"/>
    <x v="0"/>
    <n v="5"/>
    <n v="2"/>
    <n v="1"/>
    <s v="LinkedIn"/>
    <n v="10"/>
  </r>
  <r>
    <s v="U140"/>
    <n v="17"/>
    <s v="Female"/>
    <n v="4.8"/>
    <x v="4"/>
    <n v="5"/>
    <n v="4"/>
    <n v="1"/>
    <s v="X (Twitter)"/>
    <n v="10"/>
  </r>
  <r>
    <s v="U141"/>
    <n v="18"/>
    <s v="Male"/>
    <n v="4.8"/>
    <x v="1"/>
    <n v="5"/>
    <n v="1"/>
    <n v="2"/>
    <s v="Facebook"/>
    <n v="10"/>
  </r>
  <r>
    <s v="U142"/>
    <n v="32"/>
    <s v="Male"/>
    <n v="5.8"/>
    <x v="1"/>
    <n v="6"/>
    <n v="3"/>
    <n v="1"/>
    <s v="Facebook"/>
    <n v="10"/>
  </r>
  <r>
    <s v="U143"/>
    <n v="17"/>
    <s v="Male"/>
    <n v="2.2000000000000002"/>
    <x v="7"/>
    <n v="5"/>
    <n v="4"/>
    <n v="1"/>
    <s v="LinkedIn"/>
    <n v="10"/>
  </r>
  <r>
    <s v="U144"/>
    <n v="17"/>
    <s v="Male"/>
    <n v="7.2"/>
    <x v="0"/>
    <n v="8"/>
    <n v="3"/>
    <n v="1"/>
    <s v="Instagram"/>
    <n v="8"/>
  </r>
  <r>
    <s v="U145"/>
    <n v="43"/>
    <s v="Male"/>
    <n v="4.5999999999999996"/>
    <x v="4"/>
    <n v="7"/>
    <n v="0"/>
    <n v="2"/>
    <s v="TikTok"/>
    <n v="9"/>
  </r>
  <r>
    <s v="U146"/>
    <n v="38"/>
    <s v="Male"/>
    <n v="5.7"/>
    <x v="0"/>
    <n v="5"/>
    <n v="2"/>
    <n v="1"/>
    <s v="LinkedIn"/>
    <n v="10"/>
  </r>
  <r>
    <s v="U147"/>
    <n v="47"/>
    <s v="Male"/>
    <n v="6.2"/>
    <x v="3"/>
    <n v="7"/>
    <n v="6"/>
    <n v="1"/>
    <s v="YouTube"/>
    <n v="9"/>
  </r>
  <r>
    <s v="U148"/>
    <n v="48"/>
    <s v="Male"/>
    <n v="4.5999999999999996"/>
    <x v="0"/>
    <n v="5"/>
    <n v="2"/>
    <n v="3"/>
    <s v="TikTok"/>
    <n v="10"/>
  </r>
  <r>
    <s v="U149"/>
    <n v="16"/>
    <s v="Female"/>
    <n v="5.3"/>
    <x v="0"/>
    <n v="6"/>
    <n v="3"/>
    <n v="2"/>
    <s v="Facebook"/>
    <n v="10"/>
  </r>
  <r>
    <s v="U150"/>
    <n v="34"/>
    <s v="Female"/>
    <n v="1.8"/>
    <x v="5"/>
    <n v="7"/>
    <n v="3"/>
    <n v="3"/>
    <s v="LinkedIn"/>
    <n v="10"/>
  </r>
  <r>
    <s v="U151"/>
    <n v="17"/>
    <s v="Female"/>
    <n v="6.8"/>
    <x v="3"/>
    <n v="8"/>
    <n v="6"/>
    <n v="0"/>
    <s v="X (Twitter)"/>
    <n v="6"/>
  </r>
  <r>
    <s v="U152"/>
    <n v="41"/>
    <s v="Female"/>
    <n v="7.4"/>
    <x v="2"/>
    <n v="9"/>
    <n v="6"/>
    <n v="3"/>
    <s v="YouTube"/>
    <n v="5"/>
  </r>
  <r>
    <s v="U153"/>
    <n v="47"/>
    <s v="Female"/>
    <n v="2.4"/>
    <x v="0"/>
    <n v="7"/>
    <n v="5"/>
    <n v="6"/>
    <s v="LinkedIn"/>
    <n v="9"/>
  </r>
  <r>
    <s v="U154"/>
    <n v="21"/>
    <s v="Male"/>
    <n v="4.8"/>
    <x v="3"/>
    <n v="7"/>
    <n v="1"/>
    <n v="2"/>
    <s v="Instagram"/>
    <n v="8"/>
  </r>
  <r>
    <s v="U155"/>
    <n v="47"/>
    <s v="Female"/>
    <n v="3.3"/>
    <x v="4"/>
    <n v="5"/>
    <n v="4"/>
    <n v="4"/>
    <s v="YouTube"/>
    <n v="10"/>
  </r>
  <r>
    <s v="U156"/>
    <n v="19"/>
    <s v="Female"/>
    <n v="5.2"/>
    <x v="0"/>
    <n v="5"/>
    <n v="4"/>
    <n v="4"/>
    <s v="LinkedIn"/>
    <n v="10"/>
  </r>
  <r>
    <s v="U157"/>
    <n v="26"/>
    <s v="Female"/>
    <n v="6.7"/>
    <x v="3"/>
    <n v="7"/>
    <n v="2"/>
    <n v="4"/>
    <s v="Instagram"/>
    <n v="8"/>
  </r>
  <r>
    <s v="U158"/>
    <n v="32"/>
    <s v="Male"/>
    <n v="7.3"/>
    <x v="3"/>
    <n v="7"/>
    <n v="1"/>
    <n v="3"/>
    <s v="YouTube"/>
    <n v="8"/>
  </r>
  <r>
    <s v="U159"/>
    <n v="39"/>
    <s v="Male"/>
    <n v="7.5"/>
    <x v="3"/>
    <n v="6"/>
    <n v="6"/>
    <n v="3"/>
    <s v="Instagram"/>
    <n v="7"/>
  </r>
  <r>
    <s v="U160"/>
    <n v="20"/>
    <s v="Male"/>
    <n v="7.9"/>
    <x v="3"/>
    <n v="9"/>
    <n v="2"/>
    <n v="4"/>
    <s v="Instagram"/>
    <n v="5"/>
  </r>
  <r>
    <s v="U161"/>
    <n v="49"/>
    <s v="Male"/>
    <n v="5.0999999999999996"/>
    <x v="3"/>
    <n v="7"/>
    <n v="6"/>
    <n v="3"/>
    <s v="YouTube"/>
    <n v="8"/>
  </r>
  <r>
    <s v="U162"/>
    <n v="21"/>
    <s v="Female"/>
    <n v="3.4"/>
    <x v="5"/>
    <n v="7"/>
    <n v="5"/>
    <n v="1"/>
    <s v="YouTube"/>
    <n v="8"/>
  </r>
  <r>
    <s v="U163"/>
    <n v="37"/>
    <s v="Female"/>
    <n v="5.3"/>
    <x v="0"/>
    <n v="6"/>
    <n v="4"/>
    <n v="0"/>
    <s v="Instagram"/>
    <n v="10"/>
  </r>
  <r>
    <s v="U164"/>
    <n v="26"/>
    <s v="Male"/>
    <n v="6.6"/>
    <x v="1"/>
    <n v="8"/>
    <n v="4"/>
    <n v="0"/>
    <s v="Facebook"/>
    <n v="8"/>
  </r>
  <r>
    <s v="U165"/>
    <n v="31"/>
    <s v="Other"/>
    <n v="3.3"/>
    <x v="5"/>
    <n v="5"/>
    <n v="0"/>
    <n v="2"/>
    <s v="YouTube"/>
    <n v="10"/>
  </r>
  <r>
    <s v="U166"/>
    <n v="48"/>
    <s v="Female"/>
    <n v="8.5"/>
    <x v="2"/>
    <n v="10"/>
    <n v="3"/>
    <n v="3"/>
    <s v="LinkedIn"/>
    <n v="8"/>
  </r>
  <r>
    <s v="U167"/>
    <n v="24"/>
    <s v="Male"/>
    <n v="7.1"/>
    <x v="1"/>
    <n v="8"/>
    <n v="6"/>
    <n v="1"/>
    <s v="TikTok"/>
    <n v="7"/>
  </r>
  <r>
    <s v="U168"/>
    <n v="21"/>
    <s v="Male"/>
    <n v="5.0999999999999996"/>
    <x v="1"/>
    <n v="5"/>
    <n v="4"/>
    <n v="4"/>
    <s v="X (Twitter)"/>
    <n v="10"/>
  </r>
  <r>
    <s v="U169"/>
    <n v="31"/>
    <s v="Male"/>
    <n v="4.2"/>
    <x v="4"/>
    <n v="6"/>
    <n v="3"/>
    <n v="2"/>
    <s v="Instagram"/>
    <n v="10"/>
  </r>
  <r>
    <s v="U170"/>
    <n v="44"/>
    <s v="Male"/>
    <n v="4.3"/>
    <x v="4"/>
    <n v="6"/>
    <n v="6"/>
    <n v="2"/>
    <s v="Instagram"/>
    <n v="10"/>
  </r>
  <r>
    <s v="U171"/>
    <n v="18"/>
    <s v="Male"/>
    <n v="5.6"/>
    <x v="3"/>
    <n v="7"/>
    <n v="3"/>
    <n v="1"/>
    <s v="X (Twitter)"/>
    <n v="6"/>
  </r>
  <r>
    <s v="U172"/>
    <n v="35"/>
    <s v="Male"/>
    <n v="5.0999999999999996"/>
    <x v="0"/>
    <n v="7"/>
    <n v="2"/>
    <n v="0"/>
    <s v="Facebook"/>
    <n v="7"/>
  </r>
  <r>
    <s v="U173"/>
    <n v="34"/>
    <s v="Male"/>
    <n v="7.2"/>
    <x v="1"/>
    <n v="6"/>
    <n v="3"/>
    <n v="3"/>
    <s v="X (Twitter)"/>
    <n v="8"/>
  </r>
  <r>
    <s v="U174"/>
    <n v="41"/>
    <s v="Male"/>
    <n v="4.9000000000000004"/>
    <x v="0"/>
    <n v="5"/>
    <n v="5"/>
    <n v="5"/>
    <s v="YouTube"/>
    <n v="10"/>
  </r>
  <r>
    <s v="U175"/>
    <n v="18"/>
    <s v="Female"/>
    <n v="6.4"/>
    <x v="1"/>
    <n v="8"/>
    <n v="0"/>
    <n v="2"/>
    <s v="X (Twitter)"/>
    <n v="8"/>
  </r>
  <r>
    <s v="U176"/>
    <n v="34"/>
    <s v="Male"/>
    <n v="5.4"/>
    <x v="1"/>
    <n v="6"/>
    <n v="4"/>
    <n v="0"/>
    <s v="Instagram"/>
    <n v="10"/>
  </r>
  <r>
    <s v="U177"/>
    <n v="35"/>
    <s v="Female"/>
    <n v="6"/>
    <x v="0"/>
    <n v="7"/>
    <n v="5"/>
    <n v="4"/>
    <s v="X (Twitter)"/>
    <n v="8"/>
  </r>
  <r>
    <s v="U178"/>
    <n v="47"/>
    <s v="Male"/>
    <n v="5.0999999999999996"/>
    <x v="0"/>
    <n v="4"/>
    <n v="2"/>
    <n v="0"/>
    <s v="TikTok"/>
    <n v="9"/>
  </r>
  <r>
    <s v="U179"/>
    <n v="22"/>
    <s v="Other"/>
    <n v="6.8"/>
    <x v="3"/>
    <n v="10"/>
    <n v="5"/>
    <n v="1"/>
    <s v="LinkedIn"/>
    <n v="7"/>
  </r>
  <r>
    <s v="U180"/>
    <n v="48"/>
    <s v="Male"/>
    <n v="6.8"/>
    <x v="2"/>
    <n v="7"/>
    <n v="4"/>
    <n v="2"/>
    <s v="YouTube"/>
    <n v="7"/>
  </r>
  <r>
    <s v="U181"/>
    <n v="33"/>
    <s v="Male"/>
    <n v="6.3"/>
    <x v="1"/>
    <n v="8"/>
    <n v="7"/>
    <n v="3"/>
    <s v="X (Twitter)"/>
    <n v="6"/>
  </r>
  <r>
    <s v="U182"/>
    <n v="16"/>
    <s v="Other"/>
    <n v="6.6"/>
    <x v="1"/>
    <n v="7"/>
    <n v="1"/>
    <n v="1"/>
    <s v="Instagram"/>
    <n v="8"/>
  </r>
  <r>
    <s v="U183"/>
    <n v="26"/>
    <s v="Female"/>
    <n v="3.8"/>
    <x v="7"/>
    <n v="6"/>
    <n v="5"/>
    <n v="2"/>
    <s v="LinkedIn"/>
    <n v="10"/>
  </r>
  <r>
    <s v="U184"/>
    <n v="43"/>
    <s v="Female"/>
    <n v="6.1"/>
    <x v="0"/>
    <n v="9"/>
    <n v="1"/>
    <n v="4"/>
    <s v="YouTube"/>
    <n v="7"/>
  </r>
  <r>
    <s v="U185"/>
    <n v="40"/>
    <s v="Male"/>
    <n v="7.7"/>
    <x v="6"/>
    <n v="9"/>
    <n v="0"/>
    <n v="4"/>
    <s v="Instagram"/>
    <n v="5"/>
  </r>
  <r>
    <s v="U186"/>
    <n v="38"/>
    <s v="Male"/>
    <n v="6.4"/>
    <x v="1"/>
    <n v="7"/>
    <n v="0"/>
    <n v="4"/>
    <s v="Facebook"/>
    <n v="8"/>
  </r>
  <r>
    <s v="U187"/>
    <n v="46"/>
    <s v="Female"/>
    <n v="3.6"/>
    <x v="5"/>
    <n v="5"/>
    <n v="4"/>
    <n v="5"/>
    <s v="TikTok"/>
    <n v="10"/>
  </r>
  <r>
    <s v="U188"/>
    <n v="45"/>
    <s v="Female"/>
    <n v="5.4"/>
    <x v="0"/>
    <n v="8"/>
    <n v="3"/>
    <n v="4"/>
    <s v="Facebook"/>
    <n v="7"/>
  </r>
  <r>
    <s v="U189"/>
    <n v="22"/>
    <s v="Female"/>
    <n v="6.2"/>
    <x v="1"/>
    <n v="9"/>
    <n v="2"/>
    <n v="2"/>
    <s v="TikTok"/>
    <n v="6"/>
  </r>
  <r>
    <s v="U190"/>
    <n v="31"/>
    <s v="Female"/>
    <n v="4.0999999999999996"/>
    <x v="4"/>
    <n v="6"/>
    <n v="0"/>
    <n v="4"/>
    <s v="X (Twitter)"/>
    <n v="10"/>
  </r>
  <r>
    <s v="U191"/>
    <n v="41"/>
    <s v="Male"/>
    <n v="3.1"/>
    <x v="0"/>
    <n v="7"/>
    <n v="2"/>
    <n v="3"/>
    <s v="YouTube"/>
    <n v="9"/>
  </r>
  <r>
    <s v="U192"/>
    <n v="17"/>
    <s v="Female"/>
    <n v="4.9000000000000004"/>
    <x v="0"/>
    <n v="6"/>
    <n v="3"/>
    <n v="3"/>
    <s v="X (Twitter)"/>
    <n v="10"/>
  </r>
  <r>
    <s v="U193"/>
    <n v="16"/>
    <s v="Male"/>
    <n v="4.2"/>
    <x v="0"/>
    <n v="7"/>
    <n v="5"/>
    <n v="3"/>
    <s v="TikTok"/>
    <n v="8"/>
  </r>
  <r>
    <s v="U194"/>
    <n v="27"/>
    <s v="Male"/>
    <n v="5.5"/>
    <x v="1"/>
    <n v="8"/>
    <n v="3"/>
    <n v="1"/>
    <s v="TikTok"/>
    <n v="7"/>
  </r>
  <r>
    <s v="U195"/>
    <n v="20"/>
    <s v="Male"/>
    <n v="2.6"/>
    <x v="5"/>
    <n v="4"/>
    <n v="4"/>
    <n v="1"/>
    <s v="TikTok"/>
    <n v="10"/>
  </r>
  <r>
    <s v="U196"/>
    <n v="47"/>
    <s v="Female"/>
    <n v="6.5"/>
    <x v="3"/>
    <n v="7"/>
    <n v="2"/>
    <n v="2"/>
    <s v="LinkedIn"/>
    <n v="8"/>
  </r>
  <r>
    <s v="U197"/>
    <n v="24"/>
    <s v="Male"/>
    <n v="4.4000000000000004"/>
    <x v="4"/>
    <n v="7"/>
    <n v="6"/>
    <n v="3"/>
    <s v="Instagram"/>
    <n v="10"/>
  </r>
  <r>
    <s v="U198"/>
    <n v="34"/>
    <s v="Male"/>
    <n v="7.3"/>
    <x v="3"/>
    <n v="7"/>
    <n v="1"/>
    <n v="1"/>
    <s v="YouTube"/>
    <n v="6"/>
  </r>
  <r>
    <s v="U199"/>
    <n v="31"/>
    <s v="Female"/>
    <n v="5"/>
    <x v="0"/>
    <n v="5"/>
    <n v="2"/>
    <n v="3"/>
    <s v="X (Twitter)"/>
    <n v="10"/>
  </r>
  <r>
    <s v="U200"/>
    <n v="18"/>
    <s v="Male"/>
    <n v="5.5"/>
    <x v="3"/>
    <n v="6"/>
    <n v="2"/>
    <n v="6"/>
    <s v="X (Twitter)"/>
    <n v="9"/>
  </r>
  <r>
    <s v="U201"/>
    <n v="35"/>
    <s v="Female"/>
    <n v="5.2"/>
    <x v="0"/>
    <n v="6"/>
    <n v="4"/>
    <n v="0"/>
    <s v="Facebook"/>
    <n v="10"/>
  </r>
  <r>
    <s v="U202"/>
    <n v="39"/>
    <s v="Male"/>
    <n v="4.3"/>
    <x v="5"/>
    <n v="7"/>
    <n v="1"/>
    <n v="3"/>
    <s v="TikTok"/>
    <n v="9"/>
  </r>
  <r>
    <s v="U203"/>
    <n v="48"/>
    <s v="Female"/>
    <n v="10"/>
    <x v="6"/>
    <n v="10"/>
    <n v="3"/>
    <n v="2"/>
    <s v="TikTok"/>
    <n v="4"/>
  </r>
  <r>
    <s v="U204"/>
    <n v="39"/>
    <s v="Female"/>
    <n v="4.5999999999999996"/>
    <x v="1"/>
    <n v="7"/>
    <n v="3"/>
    <n v="3"/>
    <s v="TikTok"/>
    <n v="6"/>
  </r>
  <r>
    <s v="U205"/>
    <n v="26"/>
    <s v="Male"/>
    <n v="7.3"/>
    <x v="3"/>
    <n v="8"/>
    <n v="2"/>
    <n v="2"/>
    <s v="X (Twitter)"/>
    <n v="7"/>
  </r>
  <r>
    <s v="U206"/>
    <n v="23"/>
    <s v="Male"/>
    <n v="3.5"/>
    <x v="5"/>
    <n v="5"/>
    <n v="4"/>
    <n v="2"/>
    <s v="Facebook"/>
    <n v="10"/>
  </r>
  <r>
    <s v="U207"/>
    <n v="35"/>
    <s v="Male"/>
    <n v="6.2"/>
    <x v="2"/>
    <n v="8"/>
    <n v="1"/>
    <n v="3"/>
    <s v="Instagram"/>
    <n v="7"/>
  </r>
  <r>
    <s v="U208"/>
    <n v="40"/>
    <s v="Male"/>
    <n v="6.4"/>
    <x v="3"/>
    <n v="8"/>
    <n v="1"/>
    <n v="2"/>
    <s v="LinkedIn"/>
    <n v="7"/>
  </r>
  <r>
    <s v="U209"/>
    <n v="40"/>
    <s v="Other"/>
    <n v="5.5"/>
    <x v="1"/>
    <n v="7"/>
    <n v="3"/>
    <n v="0"/>
    <s v="YouTube"/>
    <n v="9"/>
  </r>
  <r>
    <s v="U210"/>
    <n v="44"/>
    <s v="Male"/>
    <n v="4.5"/>
    <x v="1"/>
    <n v="6"/>
    <n v="0"/>
    <n v="2"/>
    <s v="Instagram"/>
    <n v="9"/>
  </r>
  <r>
    <s v="U211"/>
    <n v="33"/>
    <s v="Female"/>
    <n v="5"/>
    <x v="1"/>
    <n v="6"/>
    <n v="0"/>
    <n v="0"/>
    <s v="X (Twitter)"/>
    <n v="8"/>
  </r>
  <r>
    <s v="U212"/>
    <n v="33"/>
    <s v="Male"/>
    <n v="4.8"/>
    <x v="3"/>
    <n v="6"/>
    <n v="4"/>
    <n v="3"/>
    <s v="LinkedIn"/>
    <n v="9"/>
  </r>
  <r>
    <s v="U213"/>
    <n v="17"/>
    <s v="Female"/>
    <n v="9.8000000000000007"/>
    <x v="2"/>
    <n v="9"/>
    <n v="5"/>
    <n v="0"/>
    <s v="LinkedIn"/>
    <n v="6"/>
  </r>
  <r>
    <s v="U214"/>
    <n v="31"/>
    <s v="Female"/>
    <n v="5.5"/>
    <x v="0"/>
    <n v="7"/>
    <n v="2"/>
    <n v="4"/>
    <s v="LinkedIn"/>
    <n v="9"/>
  </r>
  <r>
    <s v="U215"/>
    <n v="48"/>
    <s v="Female"/>
    <n v="6.4"/>
    <x v="2"/>
    <n v="6"/>
    <n v="2"/>
    <n v="3"/>
    <s v="TikTok"/>
    <n v="7"/>
  </r>
  <r>
    <s v="U216"/>
    <n v="19"/>
    <s v="Female"/>
    <n v="8.6999999999999993"/>
    <x v="1"/>
    <n v="7"/>
    <n v="5"/>
    <n v="3"/>
    <s v="YouTube"/>
    <n v="10"/>
  </r>
  <r>
    <s v="U217"/>
    <n v="48"/>
    <s v="Male"/>
    <n v="3.9"/>
    <x v="5"/>
    <n v="5"/>
    <n v="1"/>
    <n v="0"/>
    <s v="X (Twitter)"/>
    <n v="10"/>
  </r>
  <r>
    <s v="U218"/>
    <n v="29"/>
    <s v="Male"/>
    <n v="5.6"/>
    <x v="1"/>
    <n v="6"/>
    <n v="0"/>
    <n v="2"/>
    <s v="X (Twitter)"/>
    <n v="8"/>
  </r>
  <r>
    <s v="U219"/>
    <n v="36"/>
    <s v="Female"/>
    <n v="5"/>
    <x v="4"/>
    <n v="6"/>
    <n v="4"/>
    <n v="4"/>
    <s v="LinkedIn"/>
    <n v="10"/>
  </r>
  <r>
    <s v="U220"/>
    <n v="35"/>
    <s v="Female"/>
    <n v="5.3"/>
    <x v="1"/>
    <n v="6"/>
    <n v="3"/>
    <n v="2"/>
    <s v="X (Twitter)"/>
    <n v="9"/>
  </r>
  <r>
    <s v="U221"/>
    <n v="23"/>
    <s v="Other"/>
    <n v="5.2"/>
    <x v="0"/>
    <n v="6"/>
    <n v="5"/>
    <n v="1"/>
    <s v="YouTube"/>
    <n v="9"/>
  </r>
  <r>
    <s v="U222"/>
    <n v="22"/>
    <s v="Male"/>
    <n v="4.2"/>
    <x v="1"/>
    <n v="6"/>
    <n v="0"/>
    <n v="2"/>
    <s v="YouTube"/>
    <n v="8"/>
  </r>
  <r>
    <s v="U223"/>
    <n v="18"/>
    <s v="Female"/>
    <n v="5.9"/>
    <x v="4"/>
    <n v="6"/>
    <n v="0"/>
    <n v="2"/>
    <s v="Facebook"/>
    <n v="8"/>
  </r>
  <r>
    <s v="U224"/>
    <n v="32"/>
    <s v="Female"/>
    <n v="3.6"/>
    <x v="0"/>
    <n v="5"/>
    <n v="3"/>
    <n v="1"/>
    <s v="Facebook"/>
    <n v="10"/>
  </r>
  <r>
    <s v="U225"/>
    <n v="48"/>
    <s v="Male"/>
    <n v="7.3"/>
    <x v="3"/>
    <n v="9"/>
    <n v="4"/>
    <n v="4"/>
    <s v="Instagram"/>
    <n v="5"/>
  </r>
  <r>
    <s v="U226"/>
    <n v="27"/>
    <s v="Male"/>
    <n v="6.6"/>
    <x v="3"/>
    <n v="7"/>
    <n v="5"/>
    <n v="2"/>
    <s v="YouTube"/>
    <n v="7"/>
  </r>
  <r>
    <s v="U227"/>
    <n v="37"/>
    <s v="Female"/>
    <n v="4.5999999999999996"/>
    <x v="5"/>
    <n v="6"/>
    <n v="3"/>
    <n v="2"/>
    <s v="YouTube"/>
    <n v="8"/>
  </r>
  <r>
    <s v="U228"/>
    <n v="37"/>
    <s v="Female"/>
    <n v="4.7"/>
    <x v="5"/>
    <n v="6"/>
    <n v="3"/>
    <n v="1"/>
    <s v="YouTube"/>
    <n v="10"/>
  </r>
  <r>
    <s v="U229"/>
    <n v="45"/>
    <s v="Female"/>
    <n v="6"/>
    <x v="4"/>
    <n v="7"/>
    <n v="2"/>
    <n v="3"/>
    <s v="Facebook"/>
    <n v="9"/>
  </r>
  <r>
    <s v="U230"/>
    <n v="23"/>
    <s v="Male"/>
    <n v="4.0999999999999996"/>
    <x v="4"/>
    <n v="5"/>
    <n v="6"/>
    <n v="3"/>
    <s v="LinkedIn"/>
    <n v="10"/>
  </r>
  <r>
    <s v="U231"/>
    <n v="42"/>
    <s v="Female"/>
    <n v="8.8000000000000007"/>
    <x v="2"/>
    <n v="8"/>
    <n v="1"/>
    <n v="1"/>
    <s v="LinkedIn"/>
    <n v="6"/>
  </r>
  <r>
    <s v="U232"/>
    <n v="42"/>
    <s v="Male"/>
    <n v="6.1"/>
    <x v="0"/>
    <n v="6"/>
    <n v="4"/>
    <n v="0"/>
    <s v="X (Twitter)"/>
    <n v="8"/>
  </r>
  <r>
    <s v="U233"/>
    <n v="49"/>
    <s v="Male"/>
    <n v="6.2"/>
    <x v="1"/>
    <n v="8"/>
    <n v="1"/>
    <n v="3"/>
    <s v="LinkedIn"/>
    <n v="8"/>
  </r>
  <r>
    <s v="U234"/>
    <n v="36"/>
    <s v="Male"/>
    <n v="6.7"/>
    <x v="0"/>
    <n v="7"/>
    <n v="4"/>
    <n v="2"/>
    <s v="TikTok"/>
    <n v="8"/>
  </r>
  <r>
    <s v="U235"/>
    <n v="45"/>
    <s v="Female"/>
    <n v="4.5"/>
    <x v="4"/>
    <n v="6"/>
    <n v="1"/>
    <n v="3"/>
    <s v="Facebook"/>
    <n v="10"/>
  </r>
  <r>
    <s v="U236"/>
    <n v="48"/>
    <s v="Female"/>
    <n v="7.5"/>
    <x v="2"/>
    <n v="9"/>
    <n v="4"/>
    <n v="5"/>
    <s v="YouTube"/>
    <n v="5"/>
  </r>
  <r>
    <s v="U237"/>
    <n v="43"/>
    <s v="Female"/>
    <n v="5.7"/>
    <x v="0"/>
    <n v="7"/>
    <n v="3"/>
    <n v="2"/>
    <s v="LinkedIn"/>
    <n v="9"/>
  </r>
  <r>
    <s v="U238"/>
    <n v="48"/>
    <s v="Male"/>
    <n v="7.2"/>
    <x v="1"/>
    <n v="8"/>
    <n v="6"/>
    <n v="2"/>
    <s v="Facebook"/>
    <n v="9"/>
  </r>
  <r>
    <s v="U239"/>
    <n v="20"/>
    <s v="Female"/>
    <n v="5.0999999999999996"/>
    <x v="2"/>
    <n v="5"/>
    <n v="2"/>
    <n v="1"/>
    <s v="LinkedIn"/>
    <n v="9"/>
  </r>
  <r>
    <s v="U240"/>
    <n v="34"/>
    <s v="Male"/>
    <n v="7.9"/>
    <x v="1"/>
    <n v="8"/>
    <n v="4"/>
    <n v="2"/>
    <s v="Instagram"/>
    <n v="7"/>
  </r>
  <r>
    <s v="U241"/>
    <n v="19"/>
    <s v="Female"/>
    <n v="6.2"/>
    <x v="3"/>
    <n v="7"/>
    <n v="1"/>
    <n v="3"/>
    <s v="YouTube"/>
    <n v="8"/>
  </r>
  <r>
    <s v="U242"/>
    <n v="32"/>
    <s v="Male"/>
    <n v="9.4"/>
    <x v="6"/>
    <n v="9"/>
    <n v="2"/>
    <n v="3"/>
    <s v="Instagram"/>
    <n v="5"/>
  </r>
  <r>
    <s v="U243"/>
    <n v="43"/>
    <s v="Male"/>
    <n v="4.8"/>
    <x v="1"/>
    <n v="5"/>
    <n v="3"/>
    <n v="5"/>
    <s v="YouTube"/>
    <n v="10"/>
  </r>
  <r>
    <s v="U244"/>
    <n v="45"/>
    <s v="Male"/>
    <n v="5.9"/>
    <x v="1"/>
    <n v="8"/>
    <n v="0"/>
    <n v="3"/>
    <s v="Facebook"/>
    <n v="7"/>
  </r>
  <r>
    <s v="U245"/>
    <n v="44"/>
    <s v="Male"/>
    <n v="3.6"/>
    <x v="4"/>
    <n v="5"/>
    <n v="0"/>
    <n v="2"/>
    <s v="X (Twitter)"/>
    <n v="10"/>
  </r>
  <r>
    <s v="U246"/>
    <n v="21"/>
    <s v="Female"/>
    <n v="4.5"/>
    <x v="1"/>
    <n v="6"/>
    <n v="4"/>
    <n v="1"/>
    <s v="LinkedIn"/>
    <n v="9"/>
  </r>
  <r>
    <s v="U247"/>
    <n v="39"/>
    <s v="Female"/>
    <n v="6.6"/>
    <x v="1"/>
    <n v="7"/>
    <n v="3"/>
    <n v="3"/>
    <s v="LinkedIn"/>
    <n v="7"/>
  </r>
  <r>
    <s v="U248"/>
    <n v="44"/>
    <s v="Male"/>
    <n v="7.5"/>
    <x v="1"/>
    <n v="9"/>
    <n v="2"/>
    <n v="1"/>
    <s v="TikTok"/>
    <n v="6"/>
  </r>
  <r>
    <s v="U249"/>
    <n v="46"/>
    <s v="Female"/>
    <n v="10.8"/>
    <x v="3"/>
    <n v="10"/>
    <n v="2"/>
    <n v="3"/>
    <s v="Instagram"/>
    <n v="4"/>
  </r>
  <r>
    <s v="U250"/>
    <n v="48"/>
    <s v="Male"/>
    <n v="5.3"/>
    <x v="3"/>
    <n v="5"/>
    <n v="2"/>
    <n v="3"/>
    <s v="LinkedIn"/>
    <n v="8"/>
  </r>
  <r>
    <s v="U251"/>
    <n v="36"/>
    <s v="Female"/>
    <n v="3.8"/>
    <x v="0"/>
    <n v="5"/>
    <n v="3"/>
    <n v="2"/>
    <s v="Facebook"/>
    <n v="9"/>
  </r>
  <r>
    <s v="U252"/>
    <n v="47"/>
    <s v="Female"/>
    <n v="6.9"/>
    <x v="1"/>
    <n v="8"/>
    <n v="4"/>
    <n v="2"/>
    <s v="X (Twitter)"/>
    <n v="8"/>
  </r>
  <r>
    <s v="U253"/>
    <n v="38"/>
    <s v="Female"/>
    <n v="3.5"/>
    <x v="5"/>
    <n v="4"/>
    <n v="0"/>
    <n v="0"/>
    <s v="Facebook"/>
    <n v="10"/>
  </r>
  <r>
    <s v="U254"/>
    <n v="48"/>
    <s v="Male"/>
    <n v="6.5"/>
    <x v="3"/>
    <n v="8"/>
    <n v="6"/>
    <n v="4"/>
    <s v="Instagram"/>
    <n v="8"/>
  </r>
  <r>
    <s v="U255"/>
    <n v="18"/>
    <s v="Female"/>
    <n v="4.5999999999999996"/>
    <x v="4"/>
    <n v="7"/>
    <n v="6"/>
    <n v="3"/>
    <s v="TikTok"/>
    <n v="9"/>
  </r>
  <r>
    <s v="U256"/>
    <n v="33"/>
    <s v="Female"/>
    <n v="5.9"/>
    <x v="2"/>
    <n v="7"/>
    <n v="0"/>
    <n v="3"/>
    <s v="LinkedIn"/>
    <n v="5"/>
  </r>
  <r>
    <s v="U257"/>
    <n v="40"/>
    <s v="Male"/>
    <n v="7.5"/>
    <x v="2"/>
    <n v="8"/>
    <n v="5"/>
    <n v="0"/>
    <s v="Facebook"/>
    <n v="7"/>
  </r>
  <r>
    <s v="U258"/>
    <n v="46"/>
    <s v="Male"/>
    <n v="5.3"/>
    <x v="0"/>
    <n v="8"/>
    <n v="5"/>
    <n v="5"/>
    <s v="YouTube"/>
    <n v="9"/>
  </r>
  <r>
    <s v="U259"/>
    <n v="18"/>
    <s v="Female"/>
    <n v="7.2"/>
    <x v="2"/>
    <n v="7"/>
    <n v="3"/>
    <n v="2"/>
    <s v="X (Twitter)"/>
    <n v="6"/>
  </r>
  <r>
    <s v="U260"/>
    <n v="39"/>
    <s v="Female"/>
    <n v="7.1"/>
    <x v="2"/>
    <n v="8"/>
    <n v="0"/>
    <n v="2"/>
    <s v="Facebook"/>
    <n v="7"/>
  </r>
  <r>
    <s v="U261"/>
    <n v="47"/>
    <s v="Female"/>
    <n v="2.1"/>
    <x v="4"/>
    <n v="4"/>
    <n v="5"/>
    <n v="1"/>
    <s v="X (Twitter)"/>
    <n v="10"/>
  </r>
  <r>
    <s v="U262"/>
    <n v="37"/>
    <s v="Female"/>
    <n v="3.9"/>
    <x v="4"/>
    <n v="6"/>
    <n v="3"/>
    <n v="0"/>
    <s v="LinkedIn"/>
    <n v="10"/>
  </r>
  <r>
    <s v="U263"/>
    <n v="38"/>
    <s v="Female"/>
    <n v="2.7"/>
    <x v="1"/>
    <n v="3"/>
    <n v="4"/>
    <n v="4"/>
    <s v="YouTube"/>
    <n v="10"/>
  </r>
  <r>
    <s v="U264"/>
    <n v="17"/>
    <s v="Male"/>
    <n v="9.1"/>
    <x v="2"/>
    <n v="9"/>
    <n v="7"/>
    <n v="4"/>
    <s v="TikTok"/>
    <n v="4"/>
  </r>
  <r>
    <s v="U265"/>
    <n v="42"/>
    <s v="Male"/>
    <n v="5.3"/>
    <x v="0"/>
    <n v="7"/>
    <n v="4"/>
    <n v="2"/>
    <s v="TikTok"/>
    <n v="8"/>
  </r>
  <r>
    <s v="U266"/>
    <n v="17"/>
    <s v="Male"/>
    <n v="8.6999999999999993"/>
    <x v="2"/>
    <n v="8"/>
    <n v="1"/>
    <n v="1"/>
    <s v="YouTube"/>
    <n v="7"/>
  </r>
  <r>
    <s v="U267"/>
    <n v="41"/>
    <s v="Female"/>
    <n v="2.6"/>
    <x v="4"/>
    <n v="4"/>
    <n v="2"/>
    <n v="2"/>
    <s v="X (Twitter)"/>
    <n v="10"/>
  </r>
  <r>
    <s v="U268"/>
    <n v="32"/>
    <s v="Male"/>
    <n v="4.5"/>
    <x v="0"/>
    <n v="6"/>
    <n v="1"/>
    <n v="2"/>
    <s v="LinkedIn"/>
    <n v="8"/>
  </r>
  <r>
    <s v="U269"/>
    <n v="48"/>
    <s v="Female"/>
    <n v="6.9"/>
    <x v="3"/>
    <n v="9"/>
    <n v="4"/>
    <n v="1"/>
    <s v="Facebook"/>
    <n v="6"/>
  </r>
  <r>
    <s v="U270"/>
    <n v="24"/>
    <s v="Female"/>
    <n v="5.8"/>
    <x v="4"/>
    <n v="6"/>
    <n v="1"/>
    <n v="2"/>
    <s v="YouTube"/>
    <n v="10"/>
  </r>
  <r>
    <s v="U271"/>
    <n v="44"/>
    <s v="Female"/>
    <n v="6.5"/>
    <x v="3"/>
    <n v="6"/>
    <n v="2"/>
    <n v="3"/>
    <s v="Instagram"/>
    <n v="8"/>
  </r>
  <r>
    <s v="U272"/>
    <n v="41"/>
    <s v="Male"/>
    <n v="3.2"/>
    <x v="4"/>
    <n v="6"/>
    <n v="0"/>
    <n v="4"/>
    <s v="X (Twitter)"/>
    <n v="10"/>
  </r>
  <r>
    <s v="U273"/>
    <n v="40"/>
    <s v="Female"/>
    <n v="8"/>
    <x v="3"/>
    <n v="8"/>
    <n v="3"/>
    <n v="3"/>
    <s v="TikTok"/>
    <n v="6"/>
  </r>
  <r>
    <s v="U274"/>
    <n v="39"/>
    <s v="Male"/>
    <n v="6.9"/>
    <x v="3"/>
    <n v="7"/>
    <n v="3"/>
    <n v="0"/>
    <s v="YouTube"/>
    <n v="9"/>
  </r>
  <r>
    <s v="U275"/>
    <n v="28"/>
    <s v="Female"/>
    <n v="6.2"/>
    <x v="6"/>
    <n v="8"/>
    <n v="0"/>
    <n v="3"/>
    <s v="TikTok"/>
    <n v="5"/>
  </r>
  <r>
    <s v="U276"/>
    <n v="22"/>
    <s v="Male"/>
    <n v="4.3"/>
    <x v="0"/>
    <n v="5"/>
    <n v="4"/>
    <n v="2"/>
    <s v="X (Twitter)"/>
    <n v="10"/>
  </r>
  <r>
    <s v="U277"/>
    <n v="35"/>
    <s v="Male"/>
    <n v="6.1"/>
    <x v="0"/>
    <n v="8"/>
    <n v="3"/>
    <n v="5"/>
    <s v="TikTok"/>
    <n v="9"/>
  </r>
  <r>
    <s v="U278"/>
    <n v="16"/>
    <s v="Female"/>
    <n v="5"/>
    <x v="0"/>
    <n v="6"/>
    <n v="1"/>
    <n v="5"/>
    <s v="YouTube"/>
    <n v="10"/>
  </r>
  <r>
    <s v="U279"/>
    <n v="23"/>
    <s v="Male"/>
    <n v="2.5"/>
    <x v="5"/>
    <n v="5"/>
    <n v="7"/>
    <n v="5"/>
    <s v="X (Twitter)"/>
    <n v="10"/>
  </r>
  <r>
    <s v="U280"/>
    <n v="31"/>
    <s v="Male"/>
    <n v="5.4"/>
    <x v="3"/>
    <n v="8"/>
    <n v="5"/>
    <n v="2"/>
    <s v="Instagram"/>
    <n v="7"/>
  </r>
  <r>
    <s v="U281"/>
    <n v="29"/>
    <s v="Female"/>
    <n v="5.2"/>
    <x v="0"/>
    <n v="6"/>
    <n v="1"/>
    <n v="5"/>
    <s v="YouTube"/>
    <n v="10"/>
  </r>
  <r>
    <s v="U282"/>
    <n v="27"/>
    <s v="Female"/>
    <n v="7.4"/>
    <x v="2"/>
    <n v="9"/>
    <n v="5"/>
    <n v="3"/>
    <s v="Facebook"/>
    <n v="5"/>
  </r>
  <r>
    <s v="U283"/>
    <n v="38"/>
    <s v="Female"/>
    <n v="1.5"/>
    <x v="5"/>
    <n v="4"/>
    <n v="5"/>
    <n v="5"/>
    <s v="LinkedIn"/>
    <n v="10"/>
  </r>
  <r>
    <s v="U284"/>
    <n v="30"/>
    <s v="Female"/>
    <n v="5.9"/>
    <x v="1"/>
    <n v="9"/>
    <n v="3"/>
    <n v="2"/>
    <s v="YouTube"/>
    <n v="7"/>
  </r>
  <r>
    <s v="U285"/>
    <n v="43"/>
    <s v="Female"/>
    <n v="3.4"/>
    <x v="0"/>
    <n v="7"/>
    <n v="4"/>
    <n v="2"/>
    <s v="X (Twitter)"/>
    <n v="10"/>
  </r>
  <r>
    <s v="U286"/>
    <n v="49"/>
    <s v="Male"/>
    <n v="6.1"/>
    <x v="3"/>
    <n v="6"/>
    <n v="4"/>
    <n v="3"/>
    <s v="LinkedIn"/>
    <n v="9"/>
  </r>
  <r>
    <s v="U287"/>
    <n v="17"/>
    <s v="Male"/>
    <n v="6.2"/>
    <x v="1"/>
    <n v="8"/>
    <n v="0"/>
    <n v="3"/>
    <s v="YouTube"/>
    <n v="7"/>
  </r>
  <r>
    <s v="U288"/>
    <n v="47"/>
    <s v="Male"/>
    <n v="5.3"/>
    <x v="1"/>
    <n v="6"/>
    <n v="3"/>
    <n v="4"/>
    <s v="Instagram"/>
    <n v="9"/>
  </r>
  <r>
    <s v="U289"/>
    <n v="38"/>
    <s v="Female"/>
    <n v="7"/>
    <x v="2"/>
    <n v="8"/>
    <n v="3"/>
    <n v="2"/>
    <s v="Instagram"/>
    <n v="6"/>
  </r>
  <r>
    <s v="U290"/>
    <n v="37"/>
    <s v="Female"/>
    <n v="3.3"/>
    <x v="0"/>
    <n v="5"/>
    <n v="6"/>
    <n v="4"/>
    <s v="Facebook"/>
    <n v="9"/>
  </r>
  <r>
    <s v="U291"/>
    <n v="40"/>
    <s v="Male"/>
    <n v="7.5"/>
    <x v="3"/>
    <n v="7"/>
    <n v="4"/>
    <n v="4"/>
    <s v="TikTok"/>
    <n v="9"/>
  </r>
  <r>
    <s v="U292"/>
    <n v="37"/>
    <s v="Male"/>
    <n v="4.2"/>
    <x v="5"/>
    <n v="7"/>
    <n v="2"/>
    <n v="2"/>
    <s v="LinkedIn"/>
    <n v="8"/>
  </r>
  <r>
    <s v="U293"/>
    <n v="37"/>
    <s v="Other"/>
    <n v="2.7"/>
    <x v="4"/>
    <n v="5"/>
    <n v="3"/>
    <n v="3"/>
    <s v="X (Twitter)"/>
    <n v="10"/>
  </r>
  <r>
    <s v="U294"/>
    <n v="21"/>
    <s v="Male"/>
    <n v="5"/>
    <x v="0"/>
    <n v="6"/>
    <n v="5"/>
    <n v="2"/>
    <s v="X (Twitter)"/>
    <n v="10"/>
  </r>
  <r>
    <s v="U295"/>
    <n v="30"/>
    <s v="Female"/>
    <n v="1.7"/>
    <x v="5"/>
    <n v="4"/>
    <n v="3"/>
    <n v="6"/>
    <s v="TikTok"/>
    <n v="10"/>
  </r>
  <r>
    <s v="U296"/>
    <n v="48"/>
    <s v="Female"/>
    <n v="6"/>
    <x v="3"/>
    <n v="7"/>
    <n v="2"/>
    <n v="0"/>
    <s v="Instagram"/>
    <n v="7"/>
  </r>
  <r>
    <s v="U297"/>
    <n v="23"/>
    <s v="Female"/>
    <n v="5"/>
    <x v="3"/>
    <n v="7"/>
    <n v="2"/>
    <n v="4"/>
    <s v="Instagram"/>
    <n v="8"/>
  </r>
  <r>
    <s v="U298"/>
    <n v="20"/>
    <s v="Male"/>
    <n v="7.7"/>
    <x v="2"/>
    <n v="8"/>
    <n v="5"/>
    <n v="0"/>
    <s v="YouTube"/>
    <n v="5"/>
  </r>
  <r>
    <s v="U299"/>
    <n v="19"/>
    <s v="Female"/>
    <n v="6.7"/>
    <x v="1"/>
    <n v="5"/>
    <n v="4"/>
    <n v="2"/>
    <s v="Facebook"/>
    <n v="9"/>
  </r>
  <r>
    <s v="U300"/>
    <n v="21"/>
    <s v="Female"/>
    <n v="3"/>
    <x v="4"/>
    <n v="5"/>
    <n v="3"/>
    <n v="2"/>
    <s v="LinkedIn"/>
    <n v="10"/>
  </r>
  <r>
    <s v="U301"/>
    <n v="47"/>
    <s v="Female"/>
    <n v="4"/>
    <x v="4"/>
    <n v="4"/>
    <n v="3"/>
    <n v="5"/>
    <s v="Facebook"/>
    <n v="10"/>
  </r>
  <r>
    <s v="U302"/>
    <n v="45"/>
    <s v="Female"/>
    <n v="6.4"/>
    <x v="1"/>
    <n v="7"/>
    <n v="2"/>
    <n v="1"/>
    <s v="Facebook"/>
    <n v="7"/>
  </r>
  <r>
    <s v="U303"/>
    <n v="31"/>
    <s v="Female"/>
    <n v="7"/>
    <x v="3"/>
    <n v="6"/>
    <n v="3"/>
    <n v="4"/>
    <s v="YouTube"/>
    <n v="8"/>
  </r>
  <r>
    <s v="U304"/>
    <n v="28"/>
    <s v="Female"/>
    <n v="7.7"/>
    <x v="2"/>
    <n v="7"/>
    <n v="2"/>
    <n v="1"/>
    <s v="Facebook"/>
    <n v="7"/>
  </r>
  <r>
    <s v="U305"/>
    <n v="45"/>
    <s v="Male"/>
    <n v="7.7"/>
    <x v="1"/>
    <n v="9"/>
    <n v="2"/>
    <n v="5"/>
    <s v="TikTok"/>
    <n v="6"/>
  </r>
  <r>
    <s v="U306"/>
    <n v="34"/>
    <s v="Female"/>
    <n v="5.3"/>
    <x v="1"/>
    <n v="6"/>
    <n v="6"/>
    <n v="2"/>
    <s v="YouTube"/>
    <n v="10"/>
  </r>
  <r>
    <s v="U307"/>
    <n v="32"/>
    <s v="Female"/>
    <n v="6.2"/>
    <x v="3"/>
    <n v="7"/>
    <n v="1"/>
    <n v="3"/>
    <s v="TikTok"/>
    <n v="7"/>
  </r>
  <r>
    <s v="U308"/>
    <n v="34"/>
    <s v="Male"/>
    <n v="7.8"/>
    <x v="3"/>
    <n v="9"/>
    <n v="2"/>
    <n v="2"/>
    <s v="YouTube"/>
    <n v="6"/>
  </r>
  <r>
    <s v="U309"/>
    <n v="43"/>
    <s v="Female"/>
    <n v="5"/>
    <x v="3"/>
    <n v="6"/>
    <n v="0"/>
    <n v="4"/>
    <s v="Facebook"/>
    <n v="8"/>
  </r>
  <r>
    <s v="U310"/>
    <n v="41"/>
    <s v="Female"/>
    <n v="6.2"/>
    <x v="4"/>
    <n v="9"/>
    <n v="0"/>
    <n v="4"/>
    <s v="TikTok"/>
    <n v="7"/>
  </r>
  <r>
    <s v="U311"/>
    <n v="41"/>
    <s v="Female"/>
    <n v="4.9000000000000004"/>
    <x v="0"/>
    <n v="6"/>
    <n v="3"/>
    <n v="3"/>
    <s v="TikTok"/>
    <n v="9"/>
  </r>
  <r>
    <s v="U312"/>
    <n v="38"/>
    <s v="Male"/>
    <n v="4.5"/>
    <x v="0"/>
    <n v="6"/>
    <n v="2"/>
    <n v="1"/>
    <s v="TikTok"/>
    <n v="9"/>
  </r>
  <r>
    <s v="U313"/>
    <n v="24"/>
    <s v="Male"/>
    <n v="5.6"/>
    <x v="3"/>
    <n v="8"/>
    <n v="7"/>
    <n v="1"/>
    <s v="YouTube"/>
    <n v="7"/>
  </r>
  <r>
    <s v="U314"/>
    <n v="27"/>
    <s v="Other"/>
    <n v="4.3"/>
    <x v="0"/>
    <n v="7"/>
    <n v="2"/>
    <n v="1"/>
    <s v="X (Twitter)"/>
    <n v="8"/>
  </r>
  <r>
    <s v="U315"/>
    <n v="16"/>
    <s v="Female"/>
    <n v="5.3"/>
    <x v="1"/>
    <n v="6"/>
    <n v="6"/>
    <n v="0"/>
    <s v="Facebook"/>
    <n v="9"/>
  </r>
  <r>
    <s v="U316"/>
    <n v="16"/>
    <s v="Male"/>
    <n v="3.6"/>
    <x v="0"/>
    <n v="5"/>
    <n v="5"/>
    <n v="4"/>
    <s v="TikTok"/>
    <n v="10"/>
  </r>
  <r>
    <s v="U317"/>
    <n v="49"/>
    <s v="Female"/>
    <n v="5.2"/>
    <x v="0"/>
    <n v="8"/>
    <n v="3"/>
    <n v="2"/>
    <s v="LinkedIn"/>
    <n v="8"/>
  </r>
  <r>
    <s v="U318"/>
    <n v="47"/>
    <s v="Female"/>
    <n v="6.3"/>
    <x v="3"/>
    <n v="8"/>
    <n v="7"/>
    <n v="2"/>
    <s v="X (Twitter)"/>
    <n v="8"/>
  </r>
  <r>
    <s v="U319"/>
    <n v="40"/>
    <s v="Female"/>
    <n v="4.4000000000000004"/>
    <x v="4"/>
    <n v="7"/>
    <n v="4"/>
    <n v="5"/>
    <s v="LinkedIn"/>
    <n v="8"/>
  </r>
  <r>
    <s v="U320"/>
    <n v="16"/>
    <s v="Female"/>
    <n v="5.5"/>
    <x v="5"/>
    <n v="5"/>
    <n v="6"/>
    <n v="2"/>
    <s v="Facebook"/>
    <n v="10"/>
  </r>
  <r>
    <s v="U321"/>
    <n v="31"/>
    <s v="Male"/>
    <n v="5.8"/>
    <x v="1"/>
    <n v="8"/>
    <n v="6"/>
    <n v="1"/>
    <s v="Facebook"/>
    <n v="7"/>
  </r>
  <r>
    <s v="U322"/>
    <n v="20"/>
    <s v="Male"/>
    <n v="6.3"/>
    <x v="1"/>
    <n v="6"/>
    <n v="4"/>
    <n v="2"/>
    <s v="TikTok"/>
    <n v="8"/>
  </r>
  <r>
    <s v="U323"/>
    <n v="37"/>
    <s v="Male"/>
    <n v="5.3"/>
    <x v="0"/>
    <n v="7"/>
    <n v="5"/>
    <n v="1"/>
    <s v="TikTok"/>
    <n v="8"/>
  </r>
  <r>
    <s v="U324"/>
    <n v="44"/>
    <s v="Female"/>
    <n v="7.5"/>
    <x v="0"/>
    <n v="8"/>
    <n v="4"/>
    <n v="3"/>
    <s v="YouTube"/>
    <n v="9"/>
  </r>
  <r>
    <s v="U325"/>
    <n v="18"/>
    <s v="Male"/>
    <n v="1.7"/>
    <x v="5"/>
    <n v="3"/>
    <n v="1"/>
    <n v="2"/>
    <s v="X (Twitter)"/>
    <n v="10"/>
  </r>
  <r>
    <s v="U326"/>
    <n v="27"/>
    <s v="Male"/>
    <n v="10.8"/>
    <x v="8"/>
    <n v="9"/>
    <n v="3"/>
    <n v="2"/>
    <s v="X (Twitter)"/>
    <n v="5"/>
  </r>
  <r>
    <s v="U327"/>
    <n v="41"/>
    <s v="Male"/>
    <n v="3.9"/>
    <x v="1"/>
    <n v="4"/>
    <n v="5"/>
    <n v="2"/>
    <s v="TikTok"/>
    <n v="9"/>
  </r>
  <r>
    <s v="U328"/>
    <n v="31"/>
    <s v="Female"/>
    <n v="6.2"/>
    <x v="1"/>
    <n v="7"/>
    <n v="6"/>
    <n v="2"/>
    <s v="Facebook"/>
    <n v="8"/>
  </r>
  <r>
    <s v="U329"/>
    <n v="37"/>
    <s v="Female"/>
    <n v="3.8"/>
    <x v="0"/>
    <n v="4"/>
    <n v="2"/>
    <n v="3"/>
    <s v="TikTok"/>
    <n v="10"/>
  </r>
  <r>
    <s v="U330"/>
    <n v="44"/>
    <s v="Male"/>
    <n v="6.7"/>
    <x v="4"/>
    <n v="6"/>
    <n v="4"/>
    <n v="2"/>
    <s v="Facebook"/>
    <n v="10"/>
  </r>
  <r>
    <s v="U331"/>
    <n v="29"/>
    <s v="Male"/>
    <n v="6"/>
    <x v="4"/>
    <n v="7"/>
    <n v="3"/>
    <n v="2"/>
    <s v="Facebook"/>
    <n v="7"/>
  </r>
  <r>
    <s v="U332"/>
    <n v="43"/>
    <s v="Female"/>
    <n v="4.3"/>
    <x v="1"/>
    <n v="3"/>
    <n v="3"/>
    <n v="2"/>
    <s v="TikTok"/>
    <n v="10"/>
  </r>
  <r>
    <s v="U333"/>
    <n v="20"/>
    <s v="Male"/>
    <n v="7.4"/>
    <x v="2"/>
    <n v="9"/>
    <n v="4"/>
    <n v="2"/>
    <s v="Instagram"/>
    <n v="6"/>
  </r>
  <r>
    <s v="U334"/>
    <n v="45"/>
    <s v="Male"/>
    <n v="5.2"/>
    <x v="0"/>
    <n v="4"/>
    <n v="3"/>
    <n v="3"/>
    <s v="X (Twitter)"/>
    <n v="10"/>
  </r>
  <r>
    <s v="U335"/>
    <n v="20"/>
    <s v="Male"/>
    <n v="6.5"/>
    <x v="0"/>
    <n v="7"/>
    <n v="4"/>
    <n v="1"/>
    <s v="LinkedIn"/>
    <n v="7"/>
  </r>
  <r>
    <s v="U336"/>
    <n v="27"/>
    <s v="Male"/>
    <n v="3.8"/>
    <x v="4"/>
    <n v="6"/>
    <n v="6"/>
    <n v="4"/>
    <s v="Facebook"/>
    <n v="10"/>
  </r>
  <r>
    <s v="U337"/>
    <n v="31"/>
    <s v="Male"/>
    <n v="5.4"/>
    <x v="1"/>
    <n v="7"/>
    <n v="5"/>
    <n v="3"/>
    <s v="Facebook"/>
    <n v="8"/>
  </r>
  <r>
    <s v="U338"/>
    <n v="41"/>
    <s v="Female"/>
    <n v="9.1"/>
    <x v="2"/>
    <n v="9"/>
    <n v="4"/>
    <n v="2"/>
    <s v="Instagram"/>
    <n v="7"/>
  </r>
  <r>
    <s v="U339"/>
    <n v="41"/>
    <s v="Male"/>
    <n v="7.2"/>
    <x v="3"/>
    <n v="10"/>
    <n v="7"/>
    <n v="3"/>
    <s v="LinkedIn"/>
    <n v="7"/>
  </r>
  <r>
    <s v="U340"/>
    <n v="36"/>
    <s v="Female"/>
    <n v="6.1"/>
    <x v="0"/>
    <n v="7"/>
    <n v="5"/>
    <n v="2"/>
    <s v="YouTube"/>
    <n v="9"/>
  </r>
  <r>
    <s v="U341"/>
    <n v="48"/>
    <s v="Male"/>
    <n v="4.7"/>
    <x v="1"/>
    <n v="7"/>
    <n v="3"/>
    <n v="0"/>
    <s v="Instagram"/>
    <n v="8"/>
  </r>
  <r>
    <s v="U342"/>
    <n v="45"/>
    <s v="Female"/>
    <n v="5.6"/>
    <x v="1"/>
    <n v="6"/>
    <n v="1"/>
    <n v="3"/>
    <s v="LinkedIn"/>
    <n v="7"/>
  </r>
  <r>
    <s v="U343"/>
    <n v="38"/>
    <s v="Female"/>
    <n v="5.9"/>
    <x v="0"/>
    <n v="7"/>
    <n v="1"/>
    <n v="1"/>
    <s v="Instagram"/>
    <n v="8"/>
  </r>
  <r>
    <s v="U344"/>
    <n v="25"/>
    <s v="Male"/>
    <n v="6.3"/>
    <x v="3"/>
    <n v="9"/>
    <n v="5"/>
    <n v="4"/>
    <s v="Facebook"/>
    <n v="8"/>
  </r>
  <r>
    <s v="U345"/>
    <n v="20"/>
    <s v="Female"/>
    <n v="3.6"/>
    <x v="1"/>
    <n v="5"/>
    <n v="2"/>
    <n v="2"/>
    <s v="X (Twitter)"/>
    <n v="10"/>
  </r>
  <r>
    <s v="U346"/>
    <n v="49"/>
    <s v="Male"/>
    <n v="6.7"/>
    <x v="1"/>
    <n v="8"/>
    <n v="1"/>
    <n v="4"/>
    <s v="Instagram"/>
    <n v="8"/>
  </r>
  <r>
    <s v="U347"/>
    <n v="46"/>
    <s v="Other"/>
    <n v="3.5"/>
    <x v="0"/>
    <n v="6"/>
    <n v="1"/>
    <n v="2"/>
    <s v="YouTube"/>
    <n v="10"/>
  </r>
  <r>
    <s v="U348"/>
    <n v="25"/>
    <s v="Male"/>
    <n v="8.4"/>
    <x v="3"/>
    <n v="8"/>
    <n v="2"/>
    <n v="3"/>
    <s v="TikTok"/>
    <n v="8"/>
  </r>
  <r>
    <s v="U349"/>
    <n v="34"/>
    <s v="Male"/>
    <n v="4.0999999999999996"/>
    <x v="4"/>
    <n v="4"/>
    <n v="5"/>
    <n v="4"/>
    <s v="LinkedIn"/>
    <n v="10"/>
  </r>
  <r>
    <s v="U350"/>
    <n v="47"/>
    <s v="Male"/>
    <n v="6"/>
    <x v="1"/>
    <n v="7"/>
    <n v="3"/>
    <n v="2"/>
    <s v="Instagram"/>
    <n v="8"/>
  </r>
  <r>
    <s v="U351"/>
    <n v="16"/>
    <s v="Other"/>
    <n v="7.3"/>
    <x v="3"/>
    <n v="9"/>
    <n v="0"/>
    <n v="2"/>
    <s v="Instagram"/>
    <n v="8"/>
  </r>
  <r>
    <s v="U352"/>
    <n v="20"/>
    <s v="Female"/>
    <n v="5"/>
    <x v="1"/>
    <n v="5"/>
    <n v="3"/>
    <n v="3"/>
    <s v="YouTube"/>
    <n v="9"/>
  </r>
  <r>
    <s v="U353"/>
    <n v="19"/>
    <s v="Female"/>
    <n v="6.1"/>
    <x v="1"/>
    <n v="8"/>
    <n v="3"/>
    <n v="3"/>
    <s v="X (Twitter)"/>
    <n v="9"/>
  </r>
  <r>
    <s v="U354"/>
    <n v="31"/>
    <s v="Male"/>
    <n v="8.1"/>
    <x v="3"/>
    <n v="9"/>
    <n v="2"/>
    <n v="2"/>
    <s v="Instagram"/>
    <n v="6"/>
  </r>
  <r>
    <s v="U355"/>
    <n v="39"/>
    <s v="Female"/>
    <n v="6.5"/>
    <x v="3"/>
    <n v="5"/>
    <n v="5"/>
    <n v="0"/>
    <s v="Instagram"/>
    <n v="10"/>
  </r>
  <r>
    <s v="U356"/>
    <n v="31"/>
    <s v="Male"/>
    <n v="6.1"/>
    <x v="1"/>
    <n v="6"/>
    <n v="2"/>
    <n v="2"/>
    <s v="X (Twitter)"/>
    <n v="8"/>
  </r>
  <r>
    <s v="U357"/>
    <n v="17"/>
    <s v="Female"/>
    <n v="2.5"/>
    <x v="5"/>
    <n v="4"/>
    <n v="5"/>
    <n v="4"/>
    <s v="YouTube"/>
    <n v="10"/>
  </r>
  <r>
    <s v="U358"/>
    <n v="43"/>
    <s v="Male"/>
    <n v="3.8"/>
    <x v="4"/>
    <n v="5"/>
    <n v="4"/>
    <n v="1"/>
    <s v="LinkedIn"/>
    <n v="10"/>
  </r>
  <r>
    <s v="U359"/>
    <n v="47"/>
    <s v="Male"/>
    <n v="7.4"/>
    <x v="1"/>
    <n v="7"/>
    <n v="5"/>
    <n v="2"/>
    <s v="LinkedIn"/>
    <n v="7"/>
  </r>
  <r>
    <s v="U360"/>
    <n v="42"/>
    <s v="Male"/>
    <n v="6.5"/>
    <x v="3"/>
    <n v="7"/>
    <n v="1"/>
    <n v="2"/>
    <s v="Instagram"/>
    <n v="8"/>
  </r>
  <r>
    <s v="U361"/>
    <n v="35"/>
    <s v="Female"/>
    <n v="6.8"/>
    <x v="2"/>
    <n v="9"/>
    <n v="3"/>
    <n v="0"/>
    <s v="X (Twitter)"/>
    <n v="7"/>
  </r>
  <r>
    <s v="U362"/>
    <n v="39"/>
    <s v="Female"/>
    <n v="6.6"/>
    <x v="1"/>
    <n v="7"/>
    <n v="3"/>
    <n v="1"/>
    <s v="Instagram"/>
    <n v="7"/>
  </r>
  <r>
    <s v="U363"/>
    <n v="27"/>
    <s v="Male"/>
    <n v="7.8"/>
    <x v="3"/>
    <n v="8"/>
    <n v="0"/>
    <n v="4"/>
    <s v="TikTok"/>
    <n v="6"/>
  </r>
  <r>
    <s v="U364"/>
    <n v="48"/>
    <s v="Female"/>
    <n v="5"/>
    <x v="4"/>
    <n v="6"/>
    <n v="5"/>
    <n v="0"/>
    <s v="LinkedIn"/>
    <n v="10"/>
  </r>
  <r>
    <s v="U365"/>
    <n v="48"/>
    <s v="Male"/>
    <n v="5.7"/>
    <x v="0"/>
    <n v="7"/>
    <n v="1"/>
    <n v="3"/>
    <s v="Facebook"/>
    <n v="9"/>
  </r>
  <r>
    <s v="U366"/>
    <n v="27"/>
    <s v="Female"/>
    <n v="3.6"/>
    <x v="4"/>
    <n v="5"/>
    <n v="2"/>
    <n v="1"/>
    <s v="TikTok"/>
    <n v="10"/>
  </r>
  <r>
    <s v="U367"/>
    <n v="18"/>
    <s v="Male"/>
    <n v="3.2"/>
    <x v="5"/>
    <n v="5"/>
    <n v="1"/>
    <n v="3"/>
    <s v="Instagram"/>
    <n v="10"/>
  </r>
  <r>
    <s v="U368"/>
    <n v="16"/>
    <s v="Male"/>
    <n v="2.5"/>
    <x v="4"/>
    <n v="4"/>
    <n v="4"/>
    <n v="4"/>
    <s v="YouTube"/>
    <n v="10"/>
  </r>
  <r>
    <s v="U369"/>
    <n v="48"/>
    <s v="Female"/>
    <n v="3.9"/>
    <x v="1"/>
    <n v="5"/>
    <n v="0"/>
    <n v="2"/>
    <s v="LinkedIn"/>
    <n v="10"/>
  </r>
  <r>
    <s v="U370"/>
    <n v="25"/>
    <s v="Male"/>
    <n v="8.3000000000000007"/>
    <x v="3"/>
    <n v="8"/>
    <n v="4"/>
    <n v="2"/>
    <s v="Facebook"/>
    <n v="7"/>
  </r>
  <r>
    <s v="U371"/>
    <n v="44"/>
    <s v="Male"/>
    <n v="2.7"/>
    <x v="5"/>
    <n v="5"/>
    <n v="5"/>
    <n v="1"/>
    <s v="TikTok"/>
    <n v="10"/>
  </r>
  <r>
    <s v="U372"/>
    <n v="28"/>
    <s v="Female"/>
    <n v="5"/>
    <x v="0"/>
    <n v="5"/>
    <n v="4"/>
    <n v="0"/>
    <s v="LinkedIn"/>
    <n v="9"/>
  </r>
  <r>
    <s v="U373"/>
    <n v="27"/>
    <s v="Other"/>
    <n v="3.2"/>
    <x v="5"/>
    <n v="6"/>
    <n v="4"/>
    <n v="5"/>
    <s v="X (Twitter)"/>
    <n v="10"/>
  </r>
  <r>
    <s v="U374"/>
    <n v="46"/>
    <s v="Male"/>
    <n v="4.4000000000000004"/>
    <x v="0"/>
    <n v="7"/>
    <n v="5"/>
    <n v="1"/>
    <s v="YouTube"/>
    <n v="8"/>
  </r>
  <r>
    <s v="U375"/>
    <n v="17"/>
    <s v="Male"/>
    <n v="5.8"/>
    <x v="1"/>
    <n v="7"/>
    <n v="1"/>
    <n v="5"/>
    <s v="TikTok"/>
    <n v="9"/>
  </r>
  <r>
    <s v="U376"/>
    <n v="38"/>
    <s v="Female"/>
    <n v="4.2"/>
    <x v="4"/>
    <n v="5"/>
    <n v="6"/>
    <n v="1"/>
    <s v="X (Twitter)"/>
    <n v="10"/>
  </r>
  <r>
    <s v="U377"/>
    <n v="32"/>
    <s v="Male"/>
    <n v="7.5"/>
    <x v="2"/>
    <n v="7"/>
    <n v="2"/>
    <n v="3"/>
    <s v="Instagram"/>
    <n v="6"/>
  </r>
  <r>
    <s v="U378"/>
    <n v="41"/>
    <s v="Male"/>
    <n v="8.3000000000000007"/>
    <x v="2"/>
    <n v="10"/>
    <n v="3"/>
    <n v="1"/>
    <s v="X (Twitter)"/>
    <n v="6"/>
  </r>
  <r>
    <s v="U379"/>
    <n v="23"/>
    <s v="Male"/>
    <n v="1.5"/>
    <x v="5"/>
    <n v="3"/>
    <n v="2"/>
    <n v="3"/>
    <s v="TikTok"/>
    <n v="10"/>
  </r>
  <r>
    <s v="U380"/>
    <n v="44"/>
    <s v="Female"/>
    <n v="4.3"/>
    <x v="4"/>
    <n v="7"/>
    <n v="4"/>
    <n v="2"/>
    <s v="TikTok"/>
    <n v="10"/>
  </r>
  <r>
    <s v="U381"/>
    <n v="41"/>
    <s v="Female"/>
    <n v="5.6"/>
    <x v="1"/>
    <n v="7"/>
    <n v="2"/>
    <n v="2"/>
    <s v="Instagram"/>
    <n v="9"/>
  </r>
  <r>
    <s v="U382"/>
    <n v="25"/>
    <s v="Male"/>
    <n v="7.5"/>
    <x v="2"/>
    <n v="8"/>
    <n v="3"/>
    <n v="3"/>
    <s v="X (Twitter)"/>
    <n v="7"/>
  </r>
  <r>
    <s v="U383"/>
    <n v="41"/>
    <s v="Male"/>
    <n v="4.7"/>
    <x v="1"/>
    <n v="6"/>
    <n v="1"/>
    <n v="2"/>
    <s v="X (Twitter)"/>
    <n v="9"/>
  </r>
  <r>
    <s v="U384"/>
    <n v="49"/>
    <s v="Male"/>
    <n v="5.5"/>
    <x v="0"/>
    <n v="5"/>
    <n v="5"/>
    <n v="0"/>
    <s v="Instagram"/>
    <n v="10"/>
  </r>
  <r>
    <s v="U385"/>
    <n v="22"/>
    <s v="Female"/>
    <n v="3.4"/>
    <x v="4"/>
    <n v="6"/>
    <n v="4"/>
    <n v="4"/>
    <s v="X (Twitter)"/>
    <n v="10"/>
  </r>
  <r>
    <s v="U386"/>
    <n v="19"/>
    <s v="Male"/>
    <n v="2.7"/>
    <x v="4"/>
    <n v="5"/>
    <n v="2"/>
    <n v="1"/>
    <s v="LinkedIn"/>
    <n v="9"/>
  </r>
  <r>
    <s v="U387"/>
    <n v="26"/>
    <s v="Male"/>
    <n v="8.1"/>
    <x v="3"/>
    <n v="7"/>
    <n v="2"/>
    <n v="3"/>
    <s v="Instagram"/>
    <n v="7"/>
  </r>
  <r>
    <s v="U388"/>
    <n v="44"/>
    <s v="Female"/>
    <n v="2.2000000000000002"/>
    <x v="5"/>
    <n v="4"/>
    <n v="4"/>
    <n v="4"/>
    <s v="YouTube"/>
    <n v="10"/>
  </r>
  <r>
    <s v="U389"/>
    <n v="40"/>
    <s v="Male"/>
    <n v="9.6999999999999993"/>
    <x v="2"/>
    <n v="10"/>
    <n v="2"/>
    <n v="2"/>
    <s v="TikTok"/>
    <n v="6"/>
  </r>
  <r>
    <s v="U390"/>
    <n v="36"/>
    <s v="Female"/>
    <n v="6.8"/>
    <x v="3"/>
    <n v="8"/>
    <n v="3"/>
    <n v="4"/>
    <s v="YouTube"/>
    <n v="8"/>
  </r>
  <r>
    <s v="U391"/>
    <n v="25"/>
    <s v="Male"/>
    <n v="6.7"/>
    <x v="0"/>
    <n v="7"/>
    <n v="5"/>
    <n v="3"/>
    <s v="LinkedIn"/>
    <n v="8"/>
  </r>
  <r>
    <s v="U392"/>
    <n v="24"/>
    <s v="Male"/>
    <n v="6.5"/>
    <x v="0"/>
    <n v="6"/>
    <n v="1"/>
    <n v="1"/>
    <s v="LinkedIn"/>
    <n v="7"/>
  </r>
  <r>
    <s v="U393"/>
    <n v="39"/>
    <s v="Male"/>
    <n v="5"/>
    <x v="3"/>
    <n v="6"/>
    <n v="4"/>
    <n v="5"/>
    <s v="Facebook"/>
    <n v="8"/>
  </r>
  <r>
    <s v="U394"/>
    <n v="33"/>
    <s v="Female"/>
    <n v="6.2"/>
    <x v="1"/>
    <n v="7"/>
    <n v="4"/>
    <n v="1"/>
    <s v="Facebook"/>
    <n v="9"/>
  </r>
  <r>
    <s v="U395"/>
    <n v="47"/>
    <s v="Female"/>
    <n v="5.2"/>
    <x v="0"/>
    <n v="7"/>
    <n v="3"/>
    <n v="2"/>
    <s v="Facebook"/>
    <n v="9"/>
  </r>
  <r>
    <s v="U396"/>
    <n v="39"/>
    <s v="Female"/>
    <n v="6.5"/>
    <x v="3"/>
    <n v="7"/>
    <n v="2"/>
    <n v="2"/>
    <s v="Instagram"/>
    <n v="8"/>
  </r>
  <r>
    <s v="U397"/>
    <n v="38"/>
    <s v="Male"/>
    <n v="5.4"/>
    <x v="4"/>
    <n v="9"/>
    <n v="5"/>
    <n v="3"/>
    <s v="X (Twitter)"/>
    <n v="8"/>
  </r>
  <r>
    <s v="U398"/>
    <n v="47"/>
    <s v="Female"/>
    <n v="3.8"/>
    <x v="4"/>
    <n v="4"/>
    <n v="2"/>
    <n v="4"/>
    <s v="LinkedIn"/>
    <n v="10"/>
  </r>
  <r>
    <s v="U399"/>
    <n v="27"/>
    <s v="Male"/>
    <n v="3.9"/>
    <x v="0"/>
    <n v="5"/>
    <n v="0"/>
    <n v="4"/>
    <s v="YouTube"/>
    <n v="10"/>
  </r>
  <r>
    <s v="U400"/>
    <n v="28"/>
    <s v="Male"/>
    <n v="3.7"/>
    <x v="4"/>
    <n v="5"/>
    <n v="4"/>
    <n v="3"/>
    <s v="YouTube"/>
    <n v="10"/>
  </r>
  <r>
    <s v="U401"/>
    <n v="38"/>
    <s v="Female"/>
    <n v="7.2"/>
    <x v="3"/>
    <n v="8"/>
    <n v="1"/>
    <n v="2"/>
    <s v="YouTube"/>
    <n v="9"/>
  </r>
  <r>
    <s v="U402"/>
    <n v="40"/>
    <s v="Male"/>
    <n v="4.4000000000000004"/>
    <x v="0"/>
    <n v="5"/>
    <n v="4"/>
    <n v="0"/>
    <s v="YouTube"/>
    <n v="10"/>
  </r>
  <r>
    <s v="U403"/>
    <n v="45"/>
    <s v="Male"/>
    <n v="2.1"/>
    <x v="7"/>
    <n v="5"/>
    <n v="6"/>
    <n v="1"/>
    <s v="Facebook"/>
    <n v="10"/>
  </r>
  <r>
    <s v="U404"/>
    <n v="32"/>
    <s v="Male"/>
    <n v="6.2"/>
    <x v="1"/>
    <n v="8"/>
    <n v="4"/>
    <n v="5"/>
    <s v="YouTube"/>
    <n v="7"/>
  </r>
  <r>
    <s v="U405"/>
    <n v="35"/>
    <s v="Male"/>
    <n v="8.1999999999999993"/>
    <x v="2"/>
    <n v="9"/>
    <n v="5"/>
    <n v="0"/>
    <s v="X (Twitter)"/>
    <n v="6"/>
  </r>
  <r>
    <s v="U406"/>
    <n v="40"/>
    <s v="Male"/>
    <n v="6.9"/>
    <x v="6"/>
    <n v="8"/>
    <n v="7"/>
    <n v="1"/>
    <s v="Facebook"/>
    <n v="6"/>
  </r>
  <r>
    <s v="U407"/>
    <n v="37"/>
    <s v="Female"/>
    <n v="4.4000000000000004"/>
    <x v="0"/>
    <n v="6"/>
    <n v="5"/>
    <n v="4"/>
    <s v="YouTube"/>
    <n v="10"/>
  </r>
  <r>
    <s v="U408"/>
    <n v="28"/>
    <s v="Male"/>
    <n v="2.6"/>
    <x v="7"/>
    <n v="3"/>
    <n v="4"/>
    <n v="3"/>
    <s v="Instagram"/>
    <n v="10"/>
  </r>
  <r>
    <s v="U409"/>
    <n v="34"/>
    <s v="Female"/>
    <n v="5.3"/>
    <x v="1"/>
    <n v="6"/>
    <n v="6"/>
    <n v="4"/>
    <s v="TikTok"/>
    <n v="8"/>
  </r>
  <r>
    <s v="U410"/>
    <n v="27"/>
    <s v="Female"/>
    <n v="5.2"/>
    <x v="2"/>
    <n v="7"/>
    <n v="7"/>
    <n v="3"/>
    <s v="TikTok"/>
    <n v="9"/>
  </r>
  <r>
    <s v="U411"/>
    <n v="34"/>
    <s v="Male"/>
    <n v="3.8"/>
    <x v="0"/>
    <n v="6"/>
    <n v="7"/>
    <n v="5"/>
    <s v="TikTok"/>
    <n v="10"/>
  </r>
  <r>
    <s v="U412"/>
    <n v="27"/>
    <s v="Male"/>
    <n v="6.5"/>
    <x v="0"/>
    <n v="7"/>
    <n v="2"/>
    <n v="3"/>
    <s v="Facebook"/>
    <n v="10"/>
  </r>
  <r>
    <s v="U413"/>
    <n v="24"/>
    <s v="Male"/>
    <n v="8.8000000000000007"/>
    <x v="3"/>
    <n v="9"/>
    <n v="0"/>
    <n v="3"/>
    <s v="YouTube"/>
    <n v="6"/>
  </r>
  <r>
    <s v="U414"/>
    <n v="22"/>
    <s v="Female"/>
    <n v="5.9"/>
    <x v="3"/>
    <n v="6"/>
    <n v="2"/>
    <n v="1"/>
    <s v="LinkedIn"/>
    <n v="9"/>
  </r>
  <r>
    <s v="U415"/>
    <n v="43"/>
    <s v="Male"/>
    <n v="5.8"/>
    <x v="1"/>
    <n v="7"/>
    <n v="4"/>
    <n v="3"/>
    <s v="LinkedIn"/>
    <n v="9"/>
  </r>
  <r>
    <s v="U416"/>
    <n v="29"/>
    <s v="Female"/>
    <n v="3.8"/>
    <x v="0"/>
    <n v="6"/>
    <n v="3"/>
    <n v="2"/>
    <s v="LinkedIn"/>
    <n v="8"/>
  </r>
  <r>
    <s v="U417"/>
    <n v="46"/>
    <s v="Male"/>
    <n v="8"/>
    <x v="2"/>
    <n v="8"/>
    <n v="3"/>
    <n v="2"/>
    <s v="Facebook"/>
    <n v="9"/>
  </r>
  <r>
    <s v="U418"/>
    <n v="34"/>
    <s v="Female"/>
    <n v="5.4"/>
    <x v="2"/>
    <n v="5"/>
    <n v="4"/>
    <n v="4"/>
    <s v="X (Twitter)"/>
    <n v="10"/>
  </r>
  <r>
    <s v="U419"/>
    <n v="31"/>
    <s v="Male"/>
    <n v="4.5"/>
    <x v="4"/>
    <n v="5"/>
    <n v="0"/>
    <n v="4"/>
    <s v="Instagram"/>
    <n v="10"/>
  </r>
  <r>
    <s v="U420"/>
    <n v="20"/>
    <s v="Male"/>
    <n v="5.6"/>
    <x v="4"/>
    <n v="8"/>
    <n v="3"/>
    <n v="5"/>
    <s v="Instagram"/>
    <n v="8"/>
  </r>
  <r>
    <s v="U421"/>
    <n v="27"/>
    <s v="Other"/>
    <n v="6.3"/>
    <x v="2"/>
    <n v="9"/>
    <n v="5"/>
    <n v="5"/>
    <s v="TikTok"/>
    <n v="6"/>
  </r>
  <r>
    <s v="U422"/>
    <n v="40"/>
    <s v="Female"/>
    <n v="5.8"/>
    <x v="0"/>
    <n v="8"/>
    <n v="4"/>
    <n v="4"/>
    <s v="TikTok"/>
    <n v="8"/>
  </r>
  <r>
    <s v="U423"/>
    <n v="36"/>
    <s v="Male"/>
    <n v="7.7"/>
    <x v="3"/>
    <n v="8"/>
    <n v="4"/>
    <n v="0"/>
    <s v="LinkedIn"/>
    <n v="8"/>
  </r>
  <r>
    <s v="U424"/>
    <n v="38"/>
    <s v="Female"/>
    <n v="6.2"/>
    <x v="0"/>
    <n v="6"/>
    <n v="6"/>
    <n v="5"/>
    <s v="LinkedIn"/>
    <n v="10"/>
  </r>
  <r>
    <s v="U425"/>
    <n v="31"/>
    <s v="Female"/>
    <n v="5"/>
    <x v="0"/>
    <n v="6"/>
    <n v="3"/>
    <n v="4"/>
    <s v="TikTok"/>
    <n v="10"/>
  </r>
  <r>
    <s v="U426"/>
    <n v="29"/>
    <s v="Female"/>
    <n v="6.2"/>
    <x v="1"/>
    <n v="9"/>
    <n v="2"/>
    <n v="1"/>
    <s v="YouTube"/>
    <n v="8"/>
  </r>
  <r>
    <s v="U427"/>
    <n v="46"/>
    <s v="Female"/>
    <n v="6.4"/>
    <x v="1"/>
    <n v="8"/>
    <n v="5"/>
    <n v="4"/>
    <s v="X (Twitter)"/>
    <n v="8"/>
  </r>
  <r>
    <s v="U428"/>
    <n v="20"/>
    <s v="Male"/>
    <n v="3.2"/>
    <x v="0"/>
    <n v="5"/>
    <n v="5"/>
    <n v="1"/>
    <s v="X (Twitter)"/>
    <n v="9"/>
  </r>
  <r>
    <s v="U429"/>
    <n v="38"/>
    <s v="Male"/>
    <n v="7.6"/>
    <x v="1"/>
    <n v="9"/>
    <n v="4"/>
    <n v="3"/>
    <s v="X (Twitter)"/>
    <n v="8"/>
  </r>
  <r>
    <s v="U430"/>
    <n v="44"/>
    <s v="Male"/>
    <n v="5"/>
    <x v="1"/>
    <n v="5"/>
    <n v="3"/>
    <n v="1"/>
    <s v="X (Twitter)"/>
    <n v="10"/>
  </r>
  <r>
    <s v="U431"/>
    <n v="26"/>
    <s v="Female"/>
    <n v="5"/>
    <x v="1"/>
    <n v="6"/>
    <n v="3"/>
    <n v="1"/>
    <s v="TikTok"/>
    <n v="10"/>
  </r>
  <r>
    <s v="U432"/>
    <n v="33"/>
    <s v="Female"/>
    <n v="6.9"/>
    <x v="1"/>
    <n v="7"/>
    <n v="0"/>
    <n v="4"/>
    <s v="Instagram"/>
    <n v="7"/>
  </r>
  <r>
    <s v="U433"/>
    <n v="27"/>
    <s v="Male"/>
    <n v="6.8"/>
    <x v="3"/>
    <n v="8"/>
    <n v="5"/>
    <n v="4"/>
    <s v="TikTok"/>
    <n v="7"/>
  </r>
  <r>
    <s v="U434"/>
    <n v="24"/>
    <s v="Male"/>
    <n v="4.2"/>
    <x v="4"/>
    <n v="7"/>
    <n v="5"/>
    <n v="3"/>
    <s v="X (Twitter)"/>
    <n v="7"/>
  </r>
  <r>
    <s v="U435"/>
    <n v="25"/>
    <s v="Female"/>
    <n v="6.9"/>
    <x v="0"/>
    <n v="7"/>
    <n v="0"/>
    <n v="2"/>
    <s v="TikTok"/>
    <n v="9"/>
  </r>
  <r>
    <s v="U436"/>
    <n v="32"/>
    <s v="Other"/>
    <n v="4.5"/>
    <x v="4"/>
    <n v="5"/>
    <n v="5"/>
    <n v="0"/>
    <s v="X (Twitter)"/>
    <n v="10"/>
  </r>
  <r>
    <s v="U437"/>
    <n v="22"/>
    <s v="Female"/>
    <n v="8.8000000000000007"/>
    <x v="8"/>
    <n v="9"/>
    <n v="4"/>
    <n v="2"/>
    <s v="Facebook"/>
    <n v="7"/>
  </r>
  <r>
    <s v="U438"/>
    <n v="28"/>
    <s v="Male"/>
    <n v="4"/>
    <x v="0"/>
    <n v="5"/>
    <n v="1"/>
    <n v="3"/>
    <s v="LinkedIn"/>
    <n v="9"/>
  </r>
  <r>
    <s v="U439"/>
    <n v="24"/>
    <s v="Male"/>
    <n v="5.9"/>
    <x v="0"/>
    <n v="6"/>
    <n v="1"/>
    <n v="2"/>
    <s v="Instagram"/>
    <n v="8"/>
  </r>
  <r>
    <s v="U440"/>
    <n v="42"/>
    <s v="Male"/>
    <n v="4.0999999999999996"/>
    <x v="1"/>
    <n v="6"/>
    <n v="4"/>
    <n v="2"/>
    <s v="Facebook"/>
    <n v="9"/>
  </r>
  <r>
    <s v="U441"/>
    <n v="17"/>
    <s v="Female"/>
    <n v="9.5"/>
    <x v="2"/>
    <n v="9"/>
    <n v="2"/>
    <n v="2"/>
    <s v="YouTube"/>
    <n v="4"/>
  </r>
  <r>
    <s v="U442"/>
    <n v="20"/>
    <s v="Male"/>
    <n v="3.3"/>
    <x v="4"/>
    <n v="4"/>
    <n v="7"/>
    <n v="2"/>
    <s v="TikTok"/>
    <n v="10"/>
  </r>
  <r>
    <s v="U443"/>
    <n v="44"/>
    <s v="Female"/>
    <n v="6.4"/>
    <x v="3"/>
    <n v="6"/>
    <n v="5"/>
    <n v="3"/>
    <s v="YouTube"/>
    <n v="6"/>
  </r>
  <r>
    <s v="U444"/>
    <n v="34"/>
    <s v="Male"/>
    <n v="4.2"/>
    <x v="4"/>
    <n v="4"/>
    <n v="4"/>
    <n v="2"/>
    <s v="TikTok"/>
    <n v="10"/>
  </r>
  <r>
    <s v="U445"/>
    <n v="23"/>
    <s v="Female"/>
    <n v="4.9000000000000004"/>
    <x v="0"/>
    <n v="7"/>
    <n v="4"/>
    <n v="5"/>
    <s v="LinkedIn"/>
    <n v="7"/>
  </r>
  <r>
    <s v="U446"/>
    <n v="16"/>
    <s v="Female"/>
    <n v="6.3"/>
    <x v="1"/>
    <n v="7"/>
    <n v="6"/>
    <n v="0"/>
    <s v="Facebook"/>
    <n v="8"/>
  </r>
  <r>
    <s v="U447"/>
    <n v="37"/>
    <s v="Female"/>
    <n v="7.7"/>
    <x v="2"/>
    <n v="8"/>
    <n v="5"/>
    <n v="2"/>
    <s v="LinkedIn"/>
    <n v="8"/>
  </r>
  <r>
    <s v="U448"/>
    <n v="32"/>
    <s v="Male"/>
    <n v="8.4"/>
    <x v="3"/>
    <n v="9"/>
    <n v="4"/>
    <n v="1"/>
    <s v="X (Twitter)"/>
    <n v="7"/>
  </r>
  <r>
    <s v="U449"/>
    <n v="22"/>
    <s v="Male"/>
    <n v="2.7"/>
    <x v="1"/>
    <n v="6"/>
    <n v="1"/>
    <n v="3"/>
    <s v="LinkedIn"/>
    <n v="8"/>
  </r>
  <r>
    <s v="U450"/>
    <n v="40"/>
    <s v="Male"/>
    <n v="6"/>
    <x v="2"/>
    <n v="6"/>
    <n v="9"/>
    <n v="3"/>
    <s v="LinkedIn"/>
    <n v="8"/>
  </r>
  <r>
    <s v="U451"/>
    <n v="19"/>
    <s v="Female"/>
    <n v="8.1"/>
    <x v="3"/>
    <n v="9"/>
    <n v="1"/>
    <n v="5"/>
    <s v="X (Twitter)"/>
    <n v="7"/>
  </r>
  <r>
    <s v="U452"/>
    <n v="21"/>
    <s v="Female"/>
    <n v="2.5"/>
    <x v="5"/>
    <n v="3"/>
    <n v="2"/>
    <n v="5"/>
    <s v="TikTok"/>
    <n v="10"/>
  </r>
  <r>
    <s v="U453"/>
    <n v="46"/>
    <s v="Female"/>
    <n v="6.1"/>
    <x v="1"/>
    <n v="8"/>
    <n v="0"/>
    <n v="1"/>
    <s v="X (Twitter)"/>
    <n v="6"/>
  </r>
  <r>
    <s v="U454"/>
    <n v="34"/>
    <s v="Female"/>
    <n v="5.5"/>
    <x v="1"/>
    <n v="5"/>
    <n v="4"/>
    <n v="3"/>
    <s v="Facebook"/>
    <n v="10"/>
  </r>
  <r>
    <s v="U455"/>
    <n v="42"/>
    <s v="Female"/>
    <n v="6.2"/>
    <x v="1"/>
    <n v="6"/>
    <n v="3"/>
    <n v="3"/>
    <s v="LinkedIn"/>
    <n v="6"/>
  </r>
  <r>
    <s v="U456"/>
    <n v="25"/>
    <s v="Male"/>
    <n v="4.0999999999999996"/>
    <x v="1"/>
    <n v="5"/>
    <n v="5"/>
    <n v="1"/>
    <s v="X (Twitter)"/>
    <n v="9"/>
  </r>
  <r>
    <s v="U457"/>
    <n v="41"/>
    <s v="Female"/>
    <n v="2.9"/>
    <x v="4"/>
    <n v="3"/>
    <n v="0"/>
    <n v="3"/>
    <s v="LinkedIn"/>
    <n v="10"/>
  </r>
  <r>
    <s v="U458"/>
    <n v="34"/>
    <s v="Male"/>
    <n v="2.1"/>
    <x v="5"/>
    <n v="4"/>
    <n v="5"/>
    <n v="2"/>
    <s v="Facebook"/>
    <n v="10"/>
  </r>
  <r>
    <s v="U459"/>
    <n v="18"/>
    <s v="Male"/>
    <n v="7.3"/>
    <x v="3"/>
    <n v="8"/>
    <n v="1"/>
    <n v="1"/>
    <s v="YouTube"/>
    <n v="7"/>
  </r>
  <r>
    <s v="U460"/>
    <n v="28"/>
    <s v="Female"/>
    <n v="7.5"/>
    <x v="1"/>
    <n v="8"/>
    <n v="3"/>
    <n v="2"/>
    <s v="Facebook"/>
    <n v="6"/>
  </r>
  <r>
    <s v="U461"/>
    <n v="43"/>
    <s v="Male"/>
    <n v="6"/>
    <x v="1"/>
    <n v="5"/>
    <n v="5"/>
    <n v="1"/>
    <s v="Instagram"/>
    <n v="9"/>
  </r>
  <r>
    <s v="U462"/>
    <n v="35"/>
    <s v="Male"/>
    <n v="4.5"/>
    <x v="0"/>
    <n v="8"/>
    <n v="4"/>
    <n v="4"/>
    <s v="Instagram"/>
    <n v="8"/>
  </r>
  <r>
    <s v="U463"/>
    <n v="43"/>
    <s v="Female"/>
    <n v="2.6"/>
    <x v="5"/>
    <n v="5"/>
    <n v="4"/>
    <n v="5"/>
    <s v="Instagram"/>
    <n v="10"/>
  </r>
  <r>
    <s v="U464"/>
    <n v="23"/>
    <s v="Male"/>
    <n v="6.5"/>
    <x v="3"/>
    <n v="10"/>
    <n v="5"/>
    <n v="3"/>
    <s v="LinkedIn"/>
    <n v="5"/>
  </r>
  <r>
    <s v="U465"/>
    <n v="16"/>
    <s v="Female"/>
    <n v="3.5"/>
    <x v="4"/>
    <n v="5"/>
    <n v="4"/>
    <n v="3"/>
    <s v="TikTok"/>
    <n v="10"/>
  </r>
  <r>
    <s v="U466"/>
    <n v="18"/>
    <s v="Male"/>
    <n v="4.2"/>
    <x v="0"/>
    <n v="7"/>
    <n v="2"/>
    <n v="3"/>
    <s v="TikTok"/>
    <n v="10"/>
  </r>
  <r>
    <s v="U467"/>
    <n v="28"/>
    <s v="Male"/>
    <n v="4.4000000000000004"/>
    <x v="0"/>
    <n v="7"/>
    <n v="3"/>
    <n v="4"/>
    <s v="TikTok"/>
    <n v="8"/>
  </r>
  <r>
    <s v="U468"/>
    <n v="43"/>
    <s v="Male"/>
    <n v="5.0999999999999996"/>
    <x v="1"/>
    <n v="6"/>
    <n v="3"/>
    <n v="4"/>
    <s v="LinkedIn"/>
    <n v="9"/>
  </r>
  <r>
    <s v="U469"/>
    <n v="40"/>
    <s v="Male"/>
    <n v="4.0999999999999996"/>
    <x v="1"/>
    <n v="7"/>
    <n v="1"/>
    <n v="2"/>
    <s v="Facebook"/>
    <n v="10"/>
  </r>
  <r>
    <s v="U470"/>
    <n v="48"/>
    <s v="Female"/>
    <n v="5.6"/>
    <x v="1"/>
    <n v="6"/>
    <n v="5"/>
    <n v="3"/>
    <s v="TikTok"/>
    <n v="8"/>
  </r>
  <r>
    <s v="U471"/>
    <n v="21"/>
    <s v="Male"/>
    <n v="4.4000000000000004"/>
    <x v="3"/>
    <n v="6"/>
    <n v="4"/>
    <n v="3"/>
    <s v="YouTube"/>
    <n v="7"/>
  </r>
  <r>
    <s v="U472"/>
    <n v="47"/>
    <s v="Female"/>
    <n v="6.8"/>
    <x v="3"/>
    <n v="4"/>
    <n v="3"/>
    <n v="1"/>
    <s v="Instagram"/>
    <n v="10"/>
  </r>
  <r>
    <s v="U473"/>
    <n v="36"/>
    <s v="Female"/>
    <n v="7.4"/>
    <x v="6"/>
    <n v="8"/>
    <n v="5"/>
    <n v="4"/>
    <s v="Facebook"/>
    <n v="5"/>
  </r>
  <r>
    <s v="U474"/>
    <n v="31"/>
    <s v="Female"/>
    <n v="5.7"/>
    <x v="0"/>
    <n v="5"/>
    <n v="3"/>
    <n v="5"/>
    <s v="Instagram"/>
    <n v="10"/>
  </r>
  <r>
    <s v="U475"/>
    <n v="36"/>
    <s v="Female"/>
    <n v="6.3"/>
    <x v="0"/>
    <n v="7"/>
    <n v="3"/>
    <n v="4"/>
    <s v="TikTok"/>
    <n v="8"/>
  </r>
  <r>
    <s v="U476"/>
    <n v="26"/>
    <s v="Female"/>
    <n v="9.3000000000000007"/>
    <x v="6"/>
    <n v="8"/>
    <n v="2"/>
    <n v="1"/>
    <s v="Facebook"/>
    <n v="6"/>
  </r>
  <r>
    <s v="U477"/>
    <n v="34"/>
    <s v="Male"/>
    <n v="3.4"/>
    <x v="4"/>
    <n v="5"/>
    <n v="4"/>
    <n v="0"/>
    <s v="X (Twitter)"/>
    <n v="10"/>
  </r>
  <r>
    <s v="U478"/>
    <n v="35"/>
    <s v="Male"/>
    <n v="3.3"/>
    <x v="5"/>
    <n v="6"/>
    <n v="4"/>
    <n v="4"/>
    <s v="YouTube"/>
    <n v="10"/>
  </r>
  <r>
    <s v="U479"/>
    <n v="33"/>
    <s v="Male"/>
    <n v="6.8"/>
    <x v="1"/>
    <n v="8"/>
    <n v="2"/>
    <n v="1"/>
    <s v="TikTok"/>
    <n v="9"/>
  </r>
  <r>
    <s v="U480"/>
    <n v="29"/>
    <s v="Female"/>
    <n v="9"/>
    <x v="2"/>
    <n v="10"/>
    <n v="3"/>
    <n v="3"/>
    <s v="TikTok"/>
    <n v="4"/>
  </r>
  <r>
    <s v="U481"/>
    <n v="30"/>
    <s v="Male"/>
    <n v="5"/>
    <x v="0"/>
    <n v="8"/>
    <n v="2"/>
    <n v="5"/>
    <s v="YouTube"/>
    <n v="7"/>
  </r>
  <r>
    <s v="U482"/>
    <n v="46"/>
    <s v="Female"/>
    <n v="8.6"/>
    <x v="2"/>
    <n v="8"/>
    <n v="2"/>
    <n v="2"/>
    <s v="YouTube"/>
    <n v="4"/>
  </r>
  <r>
    <s v="U483"/>
    <n v="16"/>
    <s v="Female"/>
    <n v="5.7"/>
    <x v="1"/>
    <n v="6"/>
    <n v="0"/>
    <n v="2"/>
    <s v="X (Twitter)"/>
    <n v="8"/>
  </r>
  <r>
    <s v="U484"/>
    <n v="18"/>
    <s v="Male"/>
    <n v="4.3"/>
    <x v="0"/>
    <n v="7"/>
    <n v="3"/>
    <n v="3"/>
    <s v="TikTok"/>
    <n v="10"/>
  </r>
  <r>
    <s v="U485"/>
    <n v="31"/>
    <s v="Female"/>
    <n v="3.7"/>
    <x v="0"/>
    <n v="7"/>
    <n v="0"/>
    <n v="1"/>
    <s v="LinkedIn"/>
    <n v="9"/>
  </r>
  <r>
    <s v="U486"/>
    <n v="38"/>
    <s v="Male"/>
    <n v="6.6"/>
    <x v="1"/>
    <n v="8"/>
    <n v="2"/>
    <n v="1"/>
    <s v="TikTok"/>
    <n v="7"/>
  </r>
  <r>
    <s v="U487"/>
    <n v="26"/>
    <s v="Male"/>
    <n v="3.9"/>
    <x v="4"/>
    <n v="5"/>
    <n v="2"/>
    <n v="3"/>
    <s v="Instagram"/>
    <n v="10"/>
  </r>
  <r>
    <s v="U488"/>
    <n v="27"/>
    <s v="Female"/>
    <n v="5.6"/>
    <x v="0"/>
    <n v="7"/>
    <n v="5"/>
    <n v="2"/>
    <s v="Facebook"/>
    <n v="8"/>
  </r>
  <r>
    <s v="U489"/>
    <n v="25"/>
    <s v="Female"/>
    <n v="8.4"/>
    <x v="3"/>
    <n v="9"/>
    <n v="1"/>
    <n v="3"/>
    <s v="Facebook"/>
    <n v="7"/>
  </r>
  <r>
    <s v="U490"/>
    <n v="47"/>
    <s v="Female"/>
    <n v="4.9000000000000004"/>
    <x v="0"/>
    <n v="7"/>
    <n v="1"/>
    <n v="7"/>
    <s v="Instagram"/>
    <n v="10"/>
  </r>
  <r>
    <s v="U491"/>
    <n v="31"/>
    <s v="Male"/>
    <n v="7.9"/>
    <x v="3"/>
    <n v="8"/>
    <n v="2"/>
    <n v="3"/>
    <s v="Facebook"/>
    <n v="6"/>
  </r>
  <r>
    <s v="U492"/>
    <n v="23"/>
    <s v="Male"/>
    <n v="3.3"/>
    <x v="7"/>
    <n v="4"/>
    <n v="2"/>
    <n v="1"/>
    <s v="YouTube"/>
    <n v="10"/>
  </r>
  <r>
    <s v="U493"/>
    <n v="27"/>
    <s v="Female"/>
    <n v="4.5"/>
    <x v="3"/>
    <n v="7"/>
    <n v="6"/>
    <n v="5"/>
    <s v="Facebook"/>
    <n v="9"/>
  </r>
  <r>
    <s v="U494"/>
    <n v="39"/>
    <s v="Female"/>
    <n v="3"/>
    <x v="0"/>
    <n v="2"/>
    <n v="1"/>
    <n v="0"/>
    <s v="Facebook"/>
    <n v="10"/>
  </r>
  <r>
    <s v="U495"/>
    <n v="43"/>
    <s v="Female"/>
    <n v="5.6"/>
    <x v="4"/>
    <n v="6"/>
    <n v="2"/>
    <n v="0"/>
    <s v="Instagram"/>
    <n v="10"/>
  </r>
  <r>
    <s v="U496"/>
    <n v="23"/>
    <s v="Male"/>
    <n v="6.9"/>
    <x v="3"/>
    <n v="7"/>
    <n v="4"/>
    <n v="2"/>
    <s v="X (Twitter)"/>
    <n v="10"/>
  </r>
  <r>
    <s v="U497"/>
    <n v="43"/>
    <s v="Female"/>
    <n v="5.6"/>
    <x v="0"/>
    <n v="6"/>
    <n v="5"/>
    <n v="2"/>
    <s v="Facebook"/>
    <n v="9"/>
  </r>
  <r>
    <s v="U498"/>
    <n v="41"/>
    <s v="Male"/>
    <n v="7.7"/>
    <x v="3"/>
    <n v="7"/>
    <n v="2"/>
    <n v="2"/>
    <s v="LinkedIn"/>
    <n v="8"/>
  </r>
  <r>
    <s v="U499"/>
    <n v="23"/>
    <s v="Male"/>
    <n v="4.2"/>
    <x v="5"/>
    <n v="7"/>
    <n v="0"/>
    <n v="2"/>
    <s v="Facebook"/>
    <n v="9"/>
  </r>
  <r>
    <s v="U500"/>
    <n v="43"/>
    <s v="Female"/>
    <n v="5.9"/>
    <x v="3"/>
    <n v="8"/>
    <n v="3"/>
    <n v="3"/>
    <s v="X (Twitter)"/>
    <n v="7"/>
  </r>
  <r>
    <m/>
    <m/>
    <m/>
    <m/>
    <x v="9"/>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U001"/>
    <x v="0"/>
    <x v="0"/>
    <x v="0"/>
    <x v="0"/>
    <x v="0"/>
    <x v="0"/>
    <x v="0"/>
    <x v="0"/>
    <x v="0"/>
  </r>
  <r>
    <s v="U002"/>
    <x v="1"/>
    <x v="1"/>
    <x v="1"/>
    <x v="0"/>
    <x v="1"/>
    <x v="1"/>
    <x v="1"/>
    <x v="1"/>
    <x v="0"/>
  </r>
  <r>
    <s v="U003"/>
    <x v="2"/>
    <x v="1"/>
    <x v="2"/>
    <x v="1"/>
    <x v="2"/>
    <x v="2"/>
    <x v="1"/>
    <x v="2"/>
    <x v="1"/>
  </r>
  <r>
    <s v="U004"/>
    <x v="3"/>
    <x v="2"/>
    <x v="3"/>
    <x v="0"/>
    <x v="1"/>
    <x v="2"/>
    <x v="2"/>
    <x v="3"/>
    <x v="2"/>
  </r>
  <r>
    <s v="U005"/>
    <x v="4"/>
    <x v="2"/>
    <x v="4"/>
    <x v="2"/>
    <x v="2"/>
    <x v="1"/>
    <x v="2"/>
    <x v="4"/>
    <x v="2"/>
  </r>
  <r>
    <s v="U006"/>
    <x v="5"/>
    <x v="0"/>
    <x v="5"/>
    <x v="3"/>
    <x v="2"/>
    <x v="3"/>
    <x v="1"/>
    <x v="1"/>
    <x v="2"/>
  </r>
  <r>
    <s v="U007"/>
    <x v="6"/>
    <x v="2"/>
    <x v="6"/>
    <x v="2"/>
    <x v="1"/>
    <x v="0"/>
    <x v="3"/>
    <x v="3"/>
    <x v="3"/>
  </r>
  <r>
    <s v="U008"/>
    <x v="6"/>
    <x v="2"/>
    <x v="2"/>
    <x v="3"/>
    <x v="0"/>
    <x v="2"/>
    <x v="4"/>
    <x v="5"/>
    <x v="3"/>
  </r>
  <r>
    <s v="U009"/>
    <x v="7"/>
    <x v="0"/>
    <x v="7"/>
    <x v="0"/>
    <x v="2"/>
    <x v="4"/>
    <x v="2"/>
    <x v="2"/>
    <x v="4"/>
  </r>
  <r>
    <s v="U010"/>
    <x v="7"/>
    <x v="2"/>
    <x v="5"/>
    <x v="1"/>
    <x v="1"/>
    <x v="5"/>
    <x v="5"/>
    <x v="0"/>
    <x v="3"/>
  </r>
  <r>
    <s v="U011"/>
    <x v="8"/>
    <x v="2"/>
    <x v="8"/>
    <x v="0"/>
    <x v="0"/>
    <x v="0"/>
    <x v="3"/>
    <x v="5"/>
    <x v="3"/>
  </r>
  <r>
    <s v="U012"/>
    <x v="9"/>
    <x v="1"/>
    <x v="9"/>
    <x v="3"/>
    <x v="2"/>
    <x v="6"/>
    <x v="5"/>
    <x v="5"/>
    <x v="4"/>
  </r>
  <r>
    <s v="U013"/>
    <x v="10"/>
    <x v="2"/>
    <x v="4"/>
    <x v="0"/>
    <x v="3"/>
    <x v="7"/>
    <x v="2"/>
    <x v="2"/>
    <x v="2"/>
  </r>
  <r>
    <s v="U014"/>
    <x v="7"/>
    <x v="2"/>
    <x v="3"/>
    <x v="3"/>
    <x v="2"/>
    <x v="3"/>
    <x v="3"/>
    <x v="0"/>
    <x v="2"/>
  </r>
  <r>
    <s v="U015"/>
    <x v="11"/>
    <x v="0"/>
    <x v="10"/>
    <x v="0"/>
    <x v="2"/>
    <x v="3"/>
    <x v="1"/>
    <x v="4"/>
    <x v="4"/>
  </r>
  <r>
    <s v="U016"/>
    <x v="10"/>
    <x v="2"/>
    <x v="1"/>
    <x v="0"/>
    <x v="0"/>
    <x v="0"/>
    <x v="0"/>
    <x v="1"/>
    <x v="0"/>
  </r>
  <r>
    <s v="U017"/>
    <x v="3"/>
    <x v="2"/>
    <x v="11"/>
    <x v="3"/>
    <x v="1"/>
    <x v="3"/>
    <x v="4"/>
    <x v="0"/>
    <x v="3"/>
  </r>
  <r>
    <s v="U018"/>
    <x v="12"/>
    <x v="0"/>
    <x v="9"/>
    <x v="1"/>
    <x v="4"/>
    <x v="6"/>
    <x v="4"/>
    <x v="3"/>
    <x v="0"/>
  </r>
  <r>
    <s v="U019"/>
    <x v="13"/>
    <x v="0"/>
    <x v="7"/>
    <x v="1"/>
    <x v="0"/>
    <x v="5"/>
    <x v="5"/>
    <x v="5"/>
    <x v="4"/>
  </r>
  <r>
    <s v="U020"/>
    <x v="9"/>
    <x v="0"/>
    <x v="12"/>
    <x v="1"/>
    <x v="0"/>
    <x v="1"/>
    <x v="4"/>
    <x v="3"/>
    <x v="0"/>
  </r>
  <r>
    <s v="U021"/>
    <x v="14"/>
    <x v="2"/>
    <x v="13"/>
    <x v="4"/>
    <x v="5"/>
    <x v="1"/>
    <x v="4"/>
    <x v="4"/>
    <x v="0"/>
  </r>
  <r>
    <s v="U022"/>
    <x v="15"/>
    <x v="1"/>
    <x v="14"/>
    <x v="0"/>
    <x v="0"/>
    <x v="1"/>
    <x v="1"/>
    <x v="3"/>
    <x v="0"/>
  </r>
  <r>
    <s v="U023"/>
    <x v="16"/>
    <x v="0"/>
    <x v="15"/>
    <x v="4"/>
    <x v="5"/>
    <x v="6"/>
    <x v="2"/>
    <x v="0"/>
    <x v="4"/>
  </r>
  <r>
    <s v="U024"/>
    <x v="17"/>
    <x v="2"/>
    <x v="6"/>
    <x v="3"/>
    <x v="1"/>
    <x v="2"/>
    <x v="5"/>
    <x v="3"/>
    <x v="3"/>
  </r>
  <r>
    <s v="U025"/>
    <x v="1"/>
    <x v="0"/>
    <x v="16"/>
    <x v="1"/>
    <x v="0"/>
    <x v="5"/>
    <x v="0"/>
    <x v="4"/>
    <x v="2"/>
  </r>
  <r>
    <s v="U026"/>
    <x v="8"/>
    <x v="1"/>
    <x v="3"/>
    <x v="1"/>
    <x v="2"/>
    <x v="6"/>
    <x v="5"/>
    <x v="4"/>
    <x v="2"/>
  </r>
  <r>
    <s v="U027"/>
    <x v="18"/>
    <x v="2"/>
    <x v="17"/>
    <x v="3"/>
    <x v="1"/>
    <x v="1"/>
    <x v="3"/>
    <x v="4"/>
    <x v="1"/>
  </r>
  <r>
    <s v="U028"/>
    <x v="3"/>
    <x v="2"/>
    <x v="18"/>
    <x v="4"/>
    <x v="4"/>
    <x v="1"/>
    <x v="3"/>
    <x v="0"/>
    <x v="0"/>
  </r>
  <r>
    <s v="U029"/>
    <x v="19"/>
    <x v="0"/>
    <x v="19"/>
    <x v="1"/>
    <x v="0"/>
    <x v="1"/>
    <x v="5"/>
    <x v="4"/>
    <x v="0"/>
  </r>
  <r>
    <s v="U030"/>
    <x v="20"/>
    <x v="0"/>
    <x v="2"/>
    <x v="1"/>
    <x v="3"/>
    <x v="6"/>
    <x v="4"/>
    <x v="5"/>
    <x v="2"/>
  </r>
  <r>
    <s v="U031"/>
    <x v="21"/>
    <x v="0"/>
    <x v="12"/>
    <x v="3"/>
    <x v="1"/>
    <x v="1"/>
    <x v="5"/>
    <x v="4"/>
    <x v="4"/>
  </r>
  <r>
    <s v="U032"/>
    <x v="14"/>
    <x v="0"/>
    <x v="20"/>
    <x v="1"/>
    <x v="2"/>
    <x v="1"/>
    <x v="4"/>
    <x v="3"/>
    <x v="3"/>
  </r>
  <r>
    <s v="U033"/>
    <x v="22"/>
    <x v="2"/>
    <x v="0"/>
    <x v="4"/>
    <x v="4"/>
    <x v="0"/>
    <x v="5"/>
    <x v="1"/>
    <x v="0"/>
  </r>
  <r>
    <s v="U034"/>
    <x v="19"/>
    <x v="2"/>
    <x v="5"/>
    <x v="1"/>
    <x v="2"/>
    <x v="3"/>
    <x v="3"/>
    <x v="3"/>
    <x v="3"/>
  </r>
  <r>
    <s v="U035"/>
    <x v="23"/>
    <x v="1"/>
    <x v="21"/>
    <x v="4"/>
    <x v="2"/>
    <x v="0"/>
    <x v="5"/>
    <x v="1"/>
    <x v="4"/>
  </r>
  <r>
    <s v="U036"/>
    <x v="10"/>
    <x v="1"/>
    <x v="22"/>
    <x v="1"/>
    <x v="2"/>
    <x v="3"/>
    <x v="1"/>
    <x v="3"/>
    <x v="3"/>
  </r>
  <r>
    <s v="U037"/>
    <x v="24"/>
    <x v="2"/>
    <x v="23"/>
    <x v="2"/>
    <x v="1"/>
    <x v="5"/>
    <x v="1"/>
    <x v="0"/>
    <x v="2"/>
  </r>
  <r>
    <s v="U038"/>
    <x v="16"/>
    <x v="2"/>
    <x v="19"/>
    <x v="4"/>
    <x v="4"/>
    <x v="2"/>
    <x v="2"/>
    <x v="3"/>
    <x v="0"/>
  </r>
  <r>
    <s v="U039"/>
    <x v="18"/>
    <x v="1"/>
    <x v="24"/>
    <x v="2"/>
    <x v="0"/>
    <x v="1"/>
    <x v="5"/>
    <x v="0"/>
    <x v="4"/>
  </r>
  <r>
    <s v="U040"/>
    <x v="2"/>
    <x v="2"/>
    <x v="25"/>
    <x v="5"/>
    <x v="5"/>
    <x v="1"/>
    <x v="6"/>
    <x v="0"/>
    <x v="0"/>
  </r>
  <r>
    <s v="U041"/>
    <x v="22"/>
    <x v="0"/>
    <x v="26"/>
    <x v="3"/>
    <x v="2"/>
    <x v="3"/>
    <x v="2"/>
    <x v="4"/>
    <x v="0"/>
  </r>
  <r>
    <s v="U042"/>
    <x v="25"/>
    <x v="0"/>
    <x v="27"/>
    <x v="3"/>
    <x v="0"/>
    <x v="6"/>
    <x v="1"/>
    <x v="5"/>
    <x v="3"/>
  </r>
  <r>
    <s v="U043"/>
    <x v="21"/>
    <x v="0"/>
    <x v="28"/>
    <x v="5"/>
    <x v="6"/>
    <x v="5"/>
    <x v="3"/>
    <x v="1"/>
    <x v="0"/>
  </r>
  <r>
    <s v="U044"/>
    <x v="10"/>
    <x v="1"/>
    <x v="29"/>
    <x v="5"/>
    <x v="6"/>
    <x v="6"/>
    <x v="4"/>
    <x v="4"/>
    <x v="0"/>
  </r>
  <r>
    <s v="U045"/>
    <x v="26"/>
    <x v="2"/>
    <x v="30"/>
    <x v="1"/>
    <x v="0"/>
    <x v="3"/>
    <x v="2"/>
    <x v="4"/>
    <x v="2"/>
  </r>
  <r>
    <s v="U046"/>
    <x v="21"/>
    <x v="0"/>
    <x v="31"/>
    <x v="3"/>
    <x v="2"/>
    <x v="0"/>
    <x v="1"/>
    <x v="0"/>
    <x v="4"/>
  </r>
  <r>
    <s v="U047"/>
    <x v="0"/>
    <x v="2"/>
    <x v="16"/>
    <x v="2"/>
    <x v="2"/>
    <x v="0"/>
    <x v="2"/>
    <x v="0"/>
    <x v="2"/>
  </r>
  <r>
    <s v="U048"/>
    <x v="20"/>
    <x v="2"/>
    <x v="32"/>
    <x v="4"/>
    <x v="2"/>
    <x v="4"/>
    <x v="1"/>
    <x v="1"/>
    <x v="4"/>
  </r>
  <r>
    <s v="U049"/>
    <x v="23"/>
    <x v="0"/>
    <x v="33"/>
    <x v="4"/>
    <x v="0"/>
    <x v="6"/>
    <x v="2"/>
    <x v="3"/>
    <x v="4"/>
  </r>
  <r>
    <s v="U050"/>
    <x v="27"/>
    <x v="0"/>
    <x v="15"/>
    <x v="0"/>
    <x v="5"/>
    <x v="3"/>
    <x v="2"/>
    <x v="3"/>
    <x v="4"/>
  </r>
  <r>
    <s v="U051"/>
    <x v="28"/>
    <x v="2"/>
    <x v="18"/>
    <x v="5"/>
    <x v="4"/>
    <x v="1"/>
    <x v="1"/>
    <x v="4"/>
    <x v="0"/>
  </r>
  <r>
    <s v="U052"/>
    <x v="22"/>
    <x v="2"/>
    <x v="34"/>
    <x v="0"/>
    <x v="5"/>
    <x v="2"/>
    <x v="5"/>
    <x v="2"/>
    <x v="0"/>
  </r>
  <r>
    <s v="U053"/>
    <x v="29"/>
    <x v="2"/>
    <x v="15"/>
    <x v="0"/>
    <x v="5"/>
    <x v="6"/>
    <x v="1"/>
    <x v="2"/>
    <x v="0"/>
  </r>
  <r>
    <s v="U054"/>
    <x v="1"/>
    <x v="2"/>
    <x v="35"/>
    <x v="1"/>
    <x v="1"/>
    <x v="4"/>
    <x v="5"/>
    <x v="3"/>
    <x v="3"/>
  </r>
  <r>
    <s v="U055"/>
    <x v="2"/>
    <x v="2"/>
    <x v="36"/>
    <x v="1"/>
    <x v="0"/>
    <x v="7"/>
    <x v="1"/>
    <x v="2"/>
    <x v="2"/>
  </r>
  <r>
    <s v="U056"/>
    <x v="22"/>
    <x v="2"/>
    <x v="37"/>
    <x v="0"/>
    <x v="6"/>
    <x v="6"/>
    <x v="1"/>
    <x v="3"/>
    <x v="0"/>
  </r>
  <r>
    <s v="U057"/>
    <x v="5"/>
    <x v="2"/>
    <x v="38"/>
    <x v="6"/>
    <x v="7"/>
    <x v="6"/>
    <x v="5"/>
    <x v="0"/>
    <x v="5"/>
  </r>
  <r>
    <s v="U058"/>
    <x v="3"/>
    <x v="2"/>
    <x v="19"/>
    <x v="0"/>
    <x v="0"/>
    <x v="3"/>
    <x v="2"/>
    <x v="4"/>
    <x v="4"/>
  </r>
  <r>
    <s v="U059"/>
    <x v="17"/>
    <x v="0"/>
    <x v="39"/>
    <x v="3"/>
    <x v="3"/>
    <x v="6"/>
    <x v="5"/>
    <x v="5"/>
    <x v="1"/>
  </r>
  <r>
    <s v="U060"/>
    <x v="20"/>
    <x v="0"/>
    <x v="40"/>
    <x v="2"/>
    <x v="1"/>
    <x v="4"/>
    <x v="4"/>
    <x v="4"/>
    <x v="3"/>
  </r>
  <r>
    <s v="U061"/>
    <x v="7"/>
    <x v="0"/>
    <x v="41"/>
    <x v="5"/>
    <x v="5"/>
    <x v="2"/>
    <x v="1"/>
    <x v="3"/>
    <x v="0"/>
  </r>
  <r>
    <s v="U062"/>
    <x v="23"/>
    <x v="2"/>
    <x v="22"/>
    <x v="1"/>
    <x v="2"/>
    <x v="0"/>
    <x v="2"/>
    <x v="3"/>
    <x v="4"/>
  </r>
  <r>
    <s v="U063"/>
    <x v="14"/>
    <x v="2"/>
    <x v="24"/>
    <x v="0"/>
    <x v="2"/>
    <x v="2"/>
    <x v="1"/>
    <x v="4"/>
    <x v="0"/>
  </r>
  <r>
    <s v="U064"/>
    <x v="0"/>
    <x v="2"/>
    <x v="42"/>
    <x v="1"/>
    <x v="2"/>
    <x v="2"/>
    <x v="1"/>
    <x v="1"/>
    <x v="4"/>
  </r>
  <r>
    <s v="U065"/>
    <x v="1"/>
    <x v="0"/>
    <x v="43"/>
    <x v="2"/>
    <x v="7"/>
    <x v="3"/>
    <x v="1"/>
    <x v="3"/>
    <x v="6"/>
  </r>
  <r>
    <s v="U066"/>
    <x v="30"/>
    <x v="0"/>
    <x v="42"/>
    <x v="4"/>
    <x v="4"/>
    <x v="1"/>
    <x v="2"/>
    <x v="2"/>
    <x v="0"/>
  </r>
  <r>
    <s v="U067"/>
    <x v="14"/>
    <x v="0"/>
    <x v="24"/>
    <x v="0"/>
    <x v="0"/>
    <x v="0"/>
    <x v="2"/>
    <x v="2"/>
    <x v="0"/>
  </r>
  <r>
    <s v="U068"/>
    <x v="18"/>
    <x v="0"/>
    <x v="36"/>
    <x v="5"/>
    <x v="2"/>
    <x v="1"/>
    <x v="2"/>
    <x v="3"/>
    <x v="0"/>
  </r>
  <r>
    <s v="U069"/>
    <x v="19"/>
    <x v="2"/>
    <x v="44"/>
    <x v="1"/>
    <x v="2"/>
    <x v="1"/>
    <x v="5"/>
    <x v="3"/>
    <x v="3"/>
  </r>
  <r>
    <s v="U070"/>
    <x v="7"/>
    <x v="0"/>
    <x v="45"/>
    <x v="4"/>
    <x v="0"/>
    <x v="7"/>
    <x v="1"/>
    <x v="1"/>
    <x v="0"/>
  </r>
  <r>
    <s v="U071"/>
    <x v="30"/>
    <x v="0"/>
    <x v="31"/>
    <x v="3"/>
    <x v="1"/>
    <x v="6"/>
    <x v="1"/>
    <x v="2"/>
    <x v="6"/>
  </r>
  <r>
    <s v="U072"/>
    <x v="2"/>
    <x v="2"/>
    <x v="2"/>
    <x v="1"/>
    <x v="2"/>
    <x v="0"/>
    <x v="1"/>
    <x v="3"/>
    <x v="2"/>
  </r>
  <r>
    <s v="U073"/>
    <x v="7"/>
    <x v="0"/>
    <x v="27"/>
    <x v="3"/>
    <x v="5"/>
    <x v="2"/>
    <x v="0"/>
    <x v="3"/>
    <x v="0"/>
  </r>
  <r>
    <s v="U074"/>
    <x v="6"/>
    <x v="2"/>
    <x v="44"/>
    <x v="1"/>
    <x v="0"/>
    <x v="2"/>
    <x v="4"/>
    <x v="1"/>
    <x v="2"/>
  </r>
  <r>
    <s v="U075"/>
    <x v="25"/>
    <x v="2"/>
    <x v="46"/>
    <x v="4"/>
    <x v="1"/>
    <x v="1"/>
    <x v="5"/>
    <x v="1"/>
    <x v="2"/>
  </r>
  <r>
    <s v="U076"/>
    <x v="2"/>
    <x v="0"/>
    <x v="46"/>
    <x v="0"/>
    <x v="5"/>
    <x v="5"/>
    <x v="2"/>
    <x v="4"/>
    <x v="0"/>
  </r>
  <r>
    <s v="U077"/>
    <x v="12"/>
    <x v="2"/>
    <x v="38"/>
    <x v="2"/>
    <x v="1"/>
    <x v="1"/>
    <x v="2"/>
    <x v="1"/>
    <x v="6"/>
  </r>
  <r>
    <s v="U078"/>
    <x v="31"/>
    <x v="2"/>
    <x v="26"/>
    <x v="1"/>
    <x v="7"/>
    <x v="2"/>
    <x v="5"/>
    <x v="5"/>
    <x v="1"/>
  </r>
  <r>
    <s v="U079"/>
    <x v="16"/>
    <x v="1"/>
    <x v="37"/>
    <x v="0"/>
    <x v="2"/>
    <x v="0"/>
    <x v="4"/>
    <x v="2"/>
    <x v="4"/>
  </r>
  <r>
    <s v="U080"/>
    <x v="18"/>
    <x v="0"/>
    <x v="47"/>
    <x v="1"/>
    <x v="1"/>
    <x v="6"/>
    <x v="5"/>
    <x v="4"/>
    <x v="3"/>
  </r>
  <r>
    <s v="U081"/>
    <x v="19"/>
    <x v="2"/>
    <x v="44"/>
    <x v="1"/>
    <x v="2"/>
    <x v="0"/>
    <x v="5"/>
    <x v="5"/>
    <x v="2"/>
  </r>
  <r>
    <s v="U082"/>
    <x v="2"/>
    <x v="2"/>
    <x v="5"/>
    <x v="1"/>
    <x v="1"/>
    <x v="1"/>
    <x v="2"/>
    <x v="3"/>
    <x v="2"/>
  </r>
  <r>
    <s v="U083"/>
    <x v="13"/>
    <x v="0"/>
    <x v="43"/>
    <x v="0"/>
    <x v="7"/>
    <x v="7"/>
    <x v="5"/>
    <x v="3"/>
    <x v="2"/>
  </r>
  <r>
    <s v="U084"/>
    <x v="27"/>
    <x v="0"/>
    <x v="11"/>
    <x v="2"/>
    <x v="2"/>
    <x v="0"/>
    <x v="4"/>
    <x v="4"/>
    <x v="2"/>
  </r>
  <r>
    <s v="U085"/>
    <x v="12"/>
    <x v="1"/>
    <x v="37"/>
    <x v="0"/>
    <x v="5"/>
    <x v="0"/>
    <x v="0"/>
    <x v="1"/>
    <x v="0"/>
  </r>
  <r>
    <s v="U086"/>
    <x v="5"/>
    <x v="2"/>
    <x v="3"/>
    <x v="3"/>
    <x v="0"/>
    <x v="6"/>
    <x v="5"/>
    <x v="3"/>
    <x v="4"/>
  </r>
  <r>
    <s v="U087"/>
    <x v="7"/>
    <x v="0"/>
    <x v="48"/>
    <x v="0"/>
    <x v="4"/>
    <x v="3"/>
    <x v="5"/>
    <x v="0"/>
    <x v="0"/>
  </r>
  <r>
    <s v="U088"/>
    <x v="9"/>
    <x v="2"/>
    <x v="49"/>
    <x v="4"/>
    <x v="2"/>
    <x v="6"/>
    <x v="2"/>
    <x v="4"/>
    <x v="0"/>
  </r>
  <r>
    <s v="U089"/>
    <x v="15"/>
    <x v="0"/>
    <x v="12"/>
    <x v="6"/>
    <x v="1"/>
    <x v="4"/>
    <x v="0"/>
    <x v="5"/>
    <x v="1"/>
  </r>
  <r>
    <s v="U090"/>
    <x v="30"/>
    <x v="0"/>
    <x v="50"/>
    <x v="7"/>
    <x v="0"/>
    <x v="1"/>
    <x v="3"/>
    <x v="4"/>
    <x v="0"/>
  </r>
  <r>
    <s v="U091"/>
    <x v="22"/>
    <x v="0"/>
    <x v="37"/>
    <x v="1"/>
    <x v="4"/>
    <x v="2"/>
    <x v="4"/>
    <x v="2"/>
    <x v="4"/>
  </r>
  <r>
    <s v="U092"/>
    <x v="8"/>
    <x v="0"/>
    <x v="51"/>
    <x v="1"/>
    <x v="0"/>
    <x v="3"/>
    <x v="5"/>
    <x v="1"/>
    <x v="4"/>
  </r>
  <r>
    <s v="U093"/>
    <x v="30"/>
    <x v="0"/>
    <x v="21"/>
    <x v="0"/>
    <x v="0"/>
    <x v="4"/>
    <x v="5"/>
    <x v="1"/>
    <x v="4"/>
  </r>
  <r>
    <s v="U094"/>
    <x v="31"/>
    <x v="0"/>
    <x v="15"/>
    <x v="0"/>
    <x v="2"/>
    <x v="0"/>
    <x v="2"/>
    <x v="4"/>
    <x v="2"/>
  </r>
  <r>
    <s v="U095"/>
    <x v="23"/>
    <x v="2"/>
    <x v="25"/>
    <x v="0"/>
    <x v="5"/>
    <x v="0"/>
    <x v="7"/>
    <x v="3"/>
    <x v="0"/>
  </r>
  <r>
    <s v="U096"/>
    <x v="22"/>
    <x v="0"/>
    <x v="30"/>
    <x v="0"/>
    <x v="0"/>
    <x v="0"/>
    <x v="1"/>
    <x v="3"/>
    <x v="0"/>
  </r>
  <r>
    <s v="U097"/>
    <x v="15"/>
    <x v="0"/>
    <x v="23"/>
    <x v="2"/>
    <x v="2"/>
    <x v="0"/>
    <x v="1"/>
    <x v="0"/>
    <x v="2"/>
  </r>
  <r>
    <s v="U098"/>
    <x v="19"/>
    <x v="2"/>
    <x v="27"/>
    <x v="2"/>
    <x v="7"/>
    <x v="5"/>
    <x v="4"/>
    <x v="0"/>
    <x v="1"/>
  </r>
  <r>
    <s v="U099"/>
    <x v="1"/>
    <x v="2"/>
    <x v="52"/>
    <x v="3"/>
    <x v="1"/>
    <x v="5"/>
    <x v="5"/>
    <x v="1"/>
    <x v="2"/>
  </r>
  <r>
    <s v="U100"/>
    <x v="1"/>
    <x v="2"/>
    <x v="53"/>
    <x v="4"/>
    <x v="4"/>
    <x v="6"/>
    <x v="1"/>
    <x v="0"/>
    <x v="0"/>
  </r>
  <r>
    <s v="U101"/>
    <x v="23"/>
    <x v="0"/>
    <x v="28"/>
    <x v="5"/>
    <x v="4"/>
    <x v="4"/>
    <x v="1"/>
    <x v="5"/>
    <x v="0"/>
  </r>
  <r>
    <s v="U102"/>
    <x v="32"/>
    <x v="0"/>
    <x v="10"/>
    <x v="3"/>
    <x v="2"/>
    <x v="0"/>
    <x v="5"/>
    <x v="0"/>
    <x v="3"/>
  </r>
  <r>
    <s v="U103"/>
    <x v="33"/>
    <x v="0"/>
    <x v="54"/>
    <x v="2"/>
    <x v="2"/>
    <x v="0"/>
    <x v="4"/>
    <x v="5"/>
    <x v="3"/>
  </r>
  <r>
    <s v="U104"/>
    <x v="33"/>
    <x v="0"/>
    <x v="20"/>
    <x v="1"/>
    <x v="2"/>
    <x v="4"/>
    <x v="5"/>
    <x v="0"/>
    <x v="4"/>
  </r>
  <r>
    <s v="U105"/>
    <x v="21"/>
    <x v="0"/>
    <x v="26"/>
    <x v="3"/>
    <x v="0"/>
    <x v="2"/>
    <x v="3"/>
    <x v="1"/>
    <x v="4"/>
  </r>
  <r>
    <s v="U106"/>
    <x v="11"/>
    <x v="0"/>
    <x v="10"/>
    <x v="0"/>
    <x v="1"/>
    <x v="5"/>
    <x v="5"/>
    <x v="1"/>
    <x v="1"/>
  </r>
  <r>
    <s v="U107"/>
    <x v="5"/>
    <x v="0"/>
    <x v="17"/>
    <x v="0"/>
    <x v="2"/>
    <x v="2"/>
    <x v="1"/>
    <x v="5"/>
    <x v="4"/>
  </r>
  <r>
    <s v="U108"/>
    <x v="1"/>
    <x v="0"/>
    <x v="21"/>
    <x v="0"/>
    <x v="2"/>
    <x v="0"/>
    <x v="2"/>
    <x v="4"/>
    <x v="0"/>
  </r>
  <r>
    <s v="U109"/>
    <x v="0"/>
    <x v="0"/>
    <x v="14"/>
    <x v="1"/>
    <x v="1"/>
    <x v="5"/>
    <x v="2"/>
    <x v="1"/>
    <x v="3"/>
  </r>
  <r>
    <s v="U110"/>
    <x v="32"/>
    <x v="0"/>
    <x v="4"/>
    <x v="1"/>
    <x v="0"/>
    <x v="6"/>
    <x v="5"/>
    <x v="4"/>
    <x v="2"/>
  </r>
  <r>
    <s v="U111"/>
    <x v="33"/>
    <x v="0"/>
    <x v="55"/>
    <x v="2"/>
    <x v="0"/>
    <x v="1"/>
    <x v="4"/>
    <x v="3"/>
    <x v="2"/>
  </r>
  <r>
    <s v="U112"/>
    <x v="18"/>
    <x v="2"/>
    <x v="56"/>
    <x v="3"/>
    <x v="3"/>
    <x v="5"/>
    <x v="5"/>
    <x v="5"/>
    <x v="1"/>
  </r>
  <r>
    <s v="U113"/>
    <x v="9"/>
    <x v="2"/>
    <x v="19"/>
    <x v="1"/>
    <x v="1"/>
    <x v="6"/>
    <x v="0"/>
    <x v="1"/>
    <x v="4"/>
  </r>
  <r>
    <s v="U114"/>
    <x v="16"/>
    <x v="0"/>
    <x v="14"/>
    <x v="1"/>
    <x v="2"/>
    <x v="3"/>
    <x v="5"/>
    <x v="2"/>
    <x v="3"/>
  </r>
  <r>
    <s v="U115"/>
    <x v="10"/>
    <x v="2"/>
    <x v="44"/>
    <x v="0"/>
    <x v="0"/>
    <x v="6"/>
    <x v="1"/>
    <x v="3"/>
    <x v="0"/>
  </r>
  <r>
    <s v="U116"/>
    <x v="26"/>
    <x v="2"/>
    <x v="37"/>
    <x v="5"/>
    <x v="5"/>
    <x v="6"/>
    <x v="5"/>
    <x v="4"/>
    <x v="0"/>
  </r>
  <r>
    <s v="U117"/>
    <x v="16"/>
    <x v="0"/>
    <x v="19"/>
    <x v="0"/>
    <x v="0"/>
    <x v="6"/>
    <x v="4"/>
    <x v="1"/>
    <x v="4"/>
  </r>
  <r>
    <s v="U118"/>
    <x v="16"/>
    <x v="2"/>
    <x v="14"/>
    <x v="1"/>
    <x v="2"/>
    <x v="2"/>
    <x v="2"/>
    <x v="5"/>
    <x v="4"/>
  </r>
  <r>
    <s v="U119"/>
    <x v="24"/>
    <x v="2"/>
    <x v="10"/>
    <x v="1"/>
    <x v="2"/>
    <x v="4"/>
    <x v="4"/>
    <x v="0"/>
    <x v="4"/>
  </r>
  <r>
    <s v="U120"/>
    <x v="11"/>
    <x v="0"/>
    <x v="17"/>
    <x v="3"/>
    <x v="1"/>
    <x v="1"/>
    <x v="1"/>
    <x v="2"/>
    <x v="2"/>
  </r>
  <r>
    <s v="U121"/>
    <x v="6"/>
    <x v="0"/>
    <x v="1"/>
    <x v="1"/>
    <x v="5"/>
    <x v="1"/>
    <x v="5"/>
    <x v="4"/>
    <x v="4"/>
  </r>
  <r>
    <s v="U122"/>
    <x v="16"/>
    <x v="2"/>
    <x v="51"/>
    <x v="4"/>
    <x v="0"/>
    <x v="1"/>
    <x v="5"/>
    <x v="3"/>
    <x v="0"/>
  </r>
  <r>
    <s v="U123"/>
    <x v="14"/>
    <x v="2"/>
    <x v="4"/>
    <x v="2"/>
    <x v="0"/>
    <x v="5"/>
    <x v="0"/>
    <x v="5"/>
    <x v="2"/>
  </r>
  <r>
    <s v="U124"/>
    <x v="12"/>
    <x v="0"/>
    <x v="8"/>
    <x v="0"/>
    <x v="5"/>
    <x v="1"/>
    <x v="1"/>
    <x v="2"/>
    <x v="0"/>
  </r>
  <r>
    <s v="U125"/>
    <x v="30"/>
    <x v="0"/>
    <x v="51"/>
    <x v="0"/>
    <x v="2"/>
    <x v="3"/>
    <x v="2"/>
    <x v="5"/>
    <x v="4"/>
  </r>
  <r>
    <s v="U126"/>
    <x v="15"/>
    <x v="0"/>
    <x v="3"/>
    <x v="0"/>
    <x v="2"/>
    <x v="5"/>
    <x v="2"/>
    <x v="1"/>
    <x v="4"/>
  </r>
  <r>
    <s v="U127"/>
    <x v="32"/>
    <x v="2"/>
    <x v="31"/>
    <x v="3"/>
    <x v="1"/>
    <x v="6"/>
    <x v="1"/>
    <x v="0"/>
    <x v="2"/>
  </r>
  <r>
    <s v="U128"/>
    <x v="8"/>
    <x v="2"/>
    <x v="0"/>
    <x v="0"/>
    <x v="0"/>
    <x v="3"/>
    <x v="1"/>
    <x v="3"/>
    <x v="4"/>
  </r>
  <r>
    <s v="U129"/>
    <x v="26"/>
    <x v="0"/>
    <x v="57"/>
    <x v="3"/>
    <x v="2"/>
    <x v="4"/>
    <x v="4"/>
    <x v="5"/>
    <x v="3"/>
  </r>
  <r>
    <s v="U130"/>
    <x v="2"/>
    <x v="0"/>
    <x v="54"/>
    <x v="3"/>
    <x v="5"/>
    <x v="3"/>
    <x v="3"/>
    <x v="4"/>
    <x v="4"/>
  </r>
  <r>
    <s v="U131"/>
    <x v="15"/>
    <x v="2"/>
    <x v="20"/>
    <x v="3"/>
    <x v="1"/>
    <x v="2"/>
    <x v="2"/>
    <x v="1"/>
    <x v="3"/>
  </r>
  <r>
    <s v="U132"/>
    <x v="19"/>
    <x v="0"/>
    <x v="44"/>
    <x v="4"/>
    <x v="4"/>
    <x v="4"/>
    <x v="4"/>
    <x v="1"/>
    <x v="0"/>
  </r>
  <r>
    <s v="U133"/>
    <x v="12"/>
    <x v="0"/>
    <x v="43"/>
    <x v="1"/>
    <x v="1"/>
    <x v="6"/>
    <x v="1"/>
    <x v="3"/>
    <x v="2"/>
  </r>
  <r>
    <s v="U134"/>
    <x v="7"/>
    <x v="2"/>
    <x v="22"/>
    <x v="4"/>
    <x v="0"/>
    <x v="0"/>
    <x v="1"/>
    <x v="1"/>
    <x v="4"/>
  </r>
  <r>
    <s v="U135"/>
    <x v="1"/>
    <x v="2"/>
    <x v="23"/>
    <x v="2"/>
    <x v="3"/>
    <x v="0"/>
    <x v="2"/>
    <x v="4"/>
    <x v="2"/>
  </r>
  <r>
    <s v="U136"/>
    <x v="33"/>
    <x v="2"/>
    <x v="58"/>
    <x v="4"/>
    <x v="5"/>
    <x v="5"/>
    <x v="2"/>
    <x v="5"/>
    <x v="0"/>
  </r>
  <r>
    <s v="U137"/>
    <x v="33"/>
    <x v="2"/>
    <x v="47"/>
    <x v="1"/>
    <x v="2"/>
    <x v="6"/>
    <x v="4"/>
    <x v="3"/>
    <x v="0"/>
  </r>
  <r>
    <s v="U138"/>
    <x v="7"/>
    <x v="0"/>
    <x v="17"/>
    <x v="3"/>
    <x v="1"/>
    <x v="3"/>
    <x v="4"/>
    <x v="1"/>
    <x v="3"/>
  </r>
  <r>
    <s v="U139"/>
    <x v="13"/>
    <x v="0"/>
    <x v="36"/>
    <x v="0"/>
    <x v="5"/>
    <x v="0"/>
    <x v="2"/>
    <x v="1"/>
    <x v="0"/>
  </r>
  <r>
    <s v="U140"/>
    <x v="10"/>
    <x v="2"/>
    <x v="44"/>
    <x v="4"/>
    <x v="5"/>
    <x v="3"/>
    <x v="2"/>
    <x v="4"/>
    <x v="0"/>
  </r>
  <r>
    <s v="U141"/>
    <x v="8"/>
    <x v="0"/>
    <x v="44"/>
    <x v="1"/>
    <x v="5"/>
    <x v="2"/>
    <x v="5"/>
    <x v="0"/>
    <x v="0"/>
  </r>
  <r>
    <s v="U142"/>
    <x v="25"/>
    <x v="0"/>
    <x v="47"/>
    <x v="1"/>
    <x v="0"/>
    <x v="6"/>
    <x v="2"/>
    <x v="0"/>
    <x v="0"/>
  </r>
  <r>
    <s v="U143"/>
    <x v="10"/>
    <x v="0"/>
    <x v="59"/>
    <x v="7"/>
    <x v="5"/>
    <x v="3"/>
    <x v="2"/>
    <x v="1"/>
    <x v="0"/>
  </r>
  <r>
    <s v="U144"/>
    <x v="10"/>
    <x v="0"/>
    <x v="26"/>
    <x v="0"/>
    <x v="1"/>
    <x v="6"/>
    <x v="2"/>
    <x v="5"/>
    <x v="2"/>
  </r>
  <r>
    <s v="U145"/>
    <x v="16"/>
    <x v="0"/>
    <x v="24"/>
    <x v="4"/>
    <x v="2"/>
    <x v="5"/>
    <x v="5"/>
    <x v="3"/>
    <x v="4"/>
  </r>
  <r>
    <s v="U146"/>
    <x v="5"/>
    <x v="0"/>
    <x v="3"/>
    <x v="0"/>
    <x v="5"/>
    <x v="0"/>
    <x v="2"/>
    <x v="1"/>
    <x v="0"/>
  </r>
  <r>
    <s v="U147"/>
    <x v="33"/>
    <x v="0"/>
    <x v="17"/>
    <x v="3"/>
    <x v="2"/>
    <x v="4"/>
    <x v="2"/>
    <x v="2"/>
    <x v="4"/>
  </r>
  <r>
    <s v="U148"/>
    <x v="12"/>
    <x v="0"/>
    <x v="24"/>
    <x v="0"/>
    <x v="5"/>
    <x v="0"/>
    <x v="1"/>
    <x v="3"/>
    <x v="0"/>
  </r>
  <r>
    <s v="U149"/>
    <x v="30"/>
    <x v="2"/>
    <x v="60"/>
    <x v="0"/>
    <x v="0"/>
    <x v="6"/>
    <x v="5"/>
    <x v="0"/>
    <x v="0"/>
  </r>
  <r>
    <s v="U150"/>
    <x v="4"/>
    <x v="2"/>
    <x v="61"/>
    <x v="5"/>
    <x v="2"/>
    <x v="6"/>
    <x v="1"/>
    <x v="1"/>
    <x v="0"/>
  </r>
  <r>
    <s v="U151"/>
    <x v="10"/>
    <x v="2"/>
    <x v="21"/>
    <x v="3"/>
    <x v="1"/>
    <x v="4"/>
    <x v="3"/>
    <x v="4"/>
    <x v="1"/>
  </r>
  <r>
    <s v="U152"/>
    <x v="23"/>
    <x v="2"/>
    <x v="2"/>
    <x v="2"/>
    <x v="7"/>
    <x v="4"/>
    <x v="1"/>
    <x v="2"/>
    <x v="6"/>
  </r>
  <r>
    <s v="U153"/>
    <x v="33"/>
    <x v="2"/>
    <x v="48"/>
    <x v="0"/>
    <x v="2"/>
    <x v="1"/>
    <x v="7"/>
    <x v="1"/>
    <x v="4"/>
  </r>
  <r>
    <s v="U154"/>
    <x v="26"/>
    <x v="0"/>
    <x v="44"/>
    <x v="3"/>
    <x v="2"/>
    <x v="2"/>
    <x v="5"/>
    <x v="5"/>
    <x v="2"/>
  </r>
  <r>
    <s v="U155"/>
    <x v="33"/>
    <x v="2"/>
    <x v="34"/>
    <x v="4"/>
    <x v="5"/>
    <x v="3"/>
    <x v="4"/>
    <x v="2"/>
    <x v="0"/>
  </r>
  <r>
    <s v="U156"/>
    <x v="21"/>
    <x v="2"/>
    <x v="36"/>
    <x v="0"/>
    <x v="5"/>
    <x v="3"/>
    <x v="4"/>
    <x v="1"/>
    <x v="0"/>
  </r>
  <r>
    <s v="U157"/>
    <x v="6"/>
    <x v="2"/>
    <x v="35"/>
    <x v="3"/>
    <x v="2"/>
    <x v="0"/>
    <x v="4"/>
    <x v="5"/>
    <x v="2"/>
  </r>
  <r>
    <s v="U158"/>
    <x v="25"/>
    <x v="0"/>
    <x v="55"/>
    <x v="3"/>
    <x v="2"/>
    <x v="2"/>
    <x v="1"/>
    <x v="2"/>
    <x v="2"/>
  </r>
  <r>
    <s v="U159"/>
    <x v="7"/>
    <x v="0"/>
    <x v="11"/>
    <x v="3"/>
    <x v="0"/>
    <x v="4"/>
    <x v="1"/>
    <x v="5"/>
    <x v="3"/>
  </r>
  <r>
    <s v="U160"/>
    <x v="31"/>
    <x v="0"/>
    <x v="52"/>
    <x v="3"/>
    <x v="7"/>
    <x v="0"/>
    <x v="4"/>
    <x v="5"/>
    <x v="6"/>
  </r>
  <r>
    <s v="U161"/>
    <x v="27"/>
    <x v="0"/>
    <x v="1"/>
    <x v="3"/>
    <x v="2"/>
    <x v="4"/>
    <x v="1"/>
    <x v="2"/>
    <x v="2"/>
  </r>
  <r>
    <s v="U162"/>
    <x v="26"/>
    <x v="2"/>
    <x v="45"/>
    <x v="5"/>
    <x v="2"/>
    <x v="1"/>
    <x v="2"/>
    <x v="2"/>
    <x v="2"/>
  </r>
  <r>
    <s v="U163"/>
    <x v="9"/>
    <x v="2"/>
    <x v="60"/>
    <x v="0"/>
    <x v="0"/>
    <x v="3"/>
    <x v="3"/>
    <x v="5"/>
    <x v="0"/>
  </r>
  <r>
    <s v="U164"/>
    <x v="6"/>
    <x v="0"/>
    <x v="5"/>
    <x v="1"/>
    <x v="1"/>
    <x v="3"/>
    <x v="3"/>
    <x v="0"/>
    <x v="2"/>
  </r>
  <r>
    <s v="U165"/>
    <x v="17"/>
    <x v="1"/>
    <x v="34"/>
    <x v="5"/>
    <x v="5"/>
    <x v="5"/>
    <x v="5"/>
    <x v="2"/>
    <x v="0"/>
  </r>
  <r>
    <s v="U166"/>
    <x v="12"/>
    <x v="2"/>
    <x v="62"/>
    <x v="2"/>
    <x v="3"/>
    <x v="6"/>
    <x v="1"/>
    <x v="1"/>
    <x v="2"/>
  </r>
  <r>
    <s v="U167"/>
    <x v="19"/>
    <x v="0"/>
    <x v="12"/>
    <x v="1"/>
    <x v="1"/>
    <x v="4"/>
    <x v="2"/>
    <x v="3"/>
    <x v="3"/>
  </r>
  <r>
    <s v="U168"/>
    <x v="26"/>
    <x v="0"/>
    <x v="1"/>
    <x v="1"/>
    <x v="5"/>
    <x v="3"/>
    <x v="4"/>
    <x v="4"/>
    <x v="0"/>
  </r>
  <r>
    <s v="U169"/>
    <x v="17"/>
    <x v="0"/>
    <x v="46"/>
    <x v="4"/>
    <x v="0"/>
    <x v="6"/>
    <x v="5"/>
    <x v="5"/>
    <x v="0"/>
  </r>
  <r>
    <s v="U170"/>
    <x v="0"/>
    <x v="0"/>
    <x v="19"/>
    <x v="4"/>
    <x v="0"/>
    <x v="4"/>
    <x v="5"/>
    <x v="5"/>
    <x v="0"/>
  </r>
  <r>
    <s v="U171"/>
    <x v="8"/>
    <x v="0"/>
    <x v="22"/>
    <x v="3"/>
    <x v="2"/>
    <x v="6"/>
    <x v="2"/>
    <x v="4"/>
    <x v="1"/>
  </r>
  <r>
    <s v="U172"/>
    <x v="24"/>
    <x v="0"/>
    <x v="1"/>
    <x v="0"/>
    <x v="2"/>
    <x v="0"/>
    <x v="3"/>
    <x v="0"/>
    <x v="3"/>
  </r>
  <r>
    <s v="U173"/>
    <x v="4"/>
    <x v="0"/>
    <x v="26"/>
    <x v="1"/>
    <x v="0"/>
    <x v="6"/>
    <x v="1"/>
    <x v="4"/>
    <x v="2"/>
  </r>
  <r>
    <s v="U174"/>
    <x v="23"/>
    <x v="0"/>
    <x v="63"/>
    <x v="0"/>
    <x v="5"/>
    <x v="1"/>
    <x v="0"/>
    <x v="2"/>
    <x v="0"/>
  </r>
  <r>
    <s v="U175"/>
    <x v="8"/>
    <x v="2"/>
    <x v="14"/>
    <x v="1"/>
    <x v="1"/>
    <x v="5"/>
    <x v="5"/>
    <x v="4"/>
    <x v="2"/>
  </r>
  <r>
    <s v="U176"/>
    <x v="4"/>
    <x v="0"/>
    <x v="9"/>
    <x v="1"/>
    <x v="0"/>
    <x v="3"/>
    <x v="3"/>
    <x v="5"/>
    <x v="0"/>
  </r>
  <r>
    <s v="U177"/>
    <x v="24"/>
    <x v="2"/>
    <x v="20"/>
    <x v="0"/>
    <x v="2"/>
    <x v="1"/>
    <x v="4"/>
    <x v="4"/>
    <x v="2"/>
  </r>
  <r>
    <s v="U178"/>
    <x v="33"/>
    <x v="0"/>
    <x v="1"/>
    <x v="0"/>
    <x v="4"/>
    <x v="0"/>
    <x v="3"/>
    <x v="3"/>
    <x v="4"/>
  </r>
  <r>
    <s v="U179"/>
    <x v="18"/>
    <x v="1"/>
    <x v="21"/>
    <x v="3"/>
    <x v="3"/>
    <x v="1"/>
    <x v="2"/>
    <x v="1"/>
    <x v="3"/>
  </r>
  <r>
    <s v="U180"/>
    <x v="12"/>
    <x v="0"/>
    <x v="21"/>
    <x v="2"/>
    <x v="2"/>
    <x v="3"/>
    <x v="5"/>
    <x v="2"/>
    <x v="3"/>
  </r>
  <r>
    <s v="U181"/>
    <x v="20"/>
    <x v="0"/>
    <x v="10"/>
    <x v="1"/>
    <x v="1"/>
    <x v="7"/>
    <x v="1"/>
    <x v="4"/>
    <x v="1"/>
  </r>
  <r>
    <s v="U182"/>
    <x v="30"/>
    <x v="1"/>
    <x v="5"/>
    <x v="1"/>
    <x v="2"/>
    <x v="2"/>
    <x v="2"/>
    <x v="5"/>
    <x v="2"/>
  </r>
  <r>
    <s v="U183"/>
    <x v="6"/>
    <x v="2"/>
    <x v="50"/>
    <x v="7"/>
    <x v="0"/>
    <x v="1"/>
    <x v="5"/>
    <x v="1"/>
    <x v="0"/>
  </r>
  <r>
    <s v="U184"/>
    <x v="16"/>
    <x v="2"/>
    <x v="27"/>
    <x v="0"/>
    <x v="7"/>
    <x v="2"/>
    <x v="4"/>
    <x v="2"/>
    <x v="3"/>
  </r>
  <r>
    <s v="U185"/>
    <x v="14"/>
    <x v="0"/>
    <x v="23"/>
    <x v="6"/>
    <x v="7"/>
    <x v="5"/>
    <x v="4"/>
    <x v="5"/>
    <x v="6"/>
  </r>
  <r>
    <s v="U186"/>
    <x v="5"/>
    <x v="0"/>
    <x v="14"/>
    <x v="1"/>
    <x v="2"/>
    <x v="5"/>
    <x v="4"/>
    <x v="0"/>
    <x v="2"/>
  </r>
  <r>
    <s v="U187"/>
    <x v="29"/>
    <x v="2"/>
    <x v="15"/>
    <x v="5"/>
    <x v="5"/>
    <x v="3"/>
    <x v="0"/>
    <x v="3"/>
    <x v="0"/>
  </r>
  <r>
    <s v="U188"/>
    <x v="11"/>
    <x v="2"/>
    <x v="9"/>
    <x v="0"/>
    <x v="1"/>
    <x v="6"/>
    <x v="4"/>
    <x v="0"/>
    <x v="3"/>
  </r>
  <r>
    <s v="U189"/>
    <x v="18"/>
    <x v="2"/>
    <x v="17"/>
    <x v="1"/>
    <x v="7"/>
    <x v="0"/>
    <x v="5"/>
    <x v="3"/>
    <x v="1"/>
  </r>
  <r>
    <s v="U190"/>
    <x v="17"/>
    <x v="2"/>
    <x v="32"/>
    <x v="4"/>
    <x v="0"/>
    <x v="5"/>
    <x v="4"/>
    <x v="4"/>
    <x v="0"/>
  </r>
  <r>
    <s v="U191"/>
    <x v="23"/>
    <x v="0"/>
    <x v="0"/>
    <x v="0"/>
    <x v="2"/>
    <x v="0"/>
    <x v="1"/>
    <x v="2"/>
    <x v="4"/>
  </r>
  <r>
    <s v="U192"/>
    <x v="10"/>
    <x v="2"/>
    <x v="63"/>
    <x v="0"/>
    <x v="0"/>
    <x v="6"/>
    <x v="1"/>
    <x v="4"/>
    <x v="0"/>
  </r>
  <r>
    <s v="U193"/>
    <x v="30"/>
    <x v="0"/>
    <x v="46"/>
    <x v="0"/>
    <x v="2"/>
    <x v="1"/>
    <x v="1"/>
    <x v="3"/>
    <x v="2"/>
  </r>
  <r>
    <s v="U194"/>
    <x v="13"/>
    <x v="0"/>
    <x v="51"/>
    <x v="1"/>
    <x v="1"/>
    <x v="6"/>
    <x v="2"/>
    <x v="3"/>
    <x v="3"/>
  </r>
  <r>
    <s v="U195"/>
    <x v="31"/>
    <x v="0"/>
    <x v="64"/>
    <x v="5"/>
    <x v="4"/>
    <x v="3"/>
    <x v="2"/>
    <x v="3"/>
    <x v="0"/>
  </r>
  <r>
    <s v="U196"/>
    <x v="33"/>
    <x v="2"/>
    <x v="43"/>
    <x v="3"/>
    <x v="2"/>
    <x v="0"/>
    <x v="5"/>
    <x v="1"/>
    <x v="2"/>
  </r>
  <r>
    <s v="U197"/>
    <x v="19"/>
    <x v="0"/>
    <x v="42"/>
    <x v="4"/>
    <x v="2"/>
    <x v="4"/>
    <x v="1"/>
    <x v="5"/>
    <x v="0"/>
  </r>
  <r>
    <s v="U198"/>
    <x v="4"/>
    <x v="0"/>
    <x v="55"/>
    <x v="3"/>
    <x v="2"/>
    <x v="2"/>
    <x v="2"/>
    <x v="2"/>
    <x v="1"/>
  </r>
  <r>
    <s v="U199"/>
    <x v="17"/>
    <x v="2"/>
    <x v="16"/>
    <x v="0"/>
    <x v="5"/>
    <x v="0"/>
    <x v="1"/>
    <x v="4"/>
    <x v="0"/>
  </r>
  <r>
    <s v="U200"/>
    <x v="8"/>
    <x v="0"/>
    <x v="51"/>
    <x v="3"/>
    <x v="0"/>
    <x v="0"/>
    <x v="7"/>
    <x v="4"/>
    <x v="4"/>
  </r>
  <r>
    <s v="U201"/>
    <x v="24"/>
    <x v="2"/>
    <x v="36"/>
    <x v="0"/>
    <x v="0"/>
    <x v="3"/>
    <x v="3"/>
    <x v="0"/>
    <x v="0"/>
  </r>
  <r>
    <s v="U202"/>
    <x v="7"/>
    <x v="0"/>
    <x v="19"/>
    <x v="5"/>
    <x v="2"/>
    <x v="2"/>
    <x v="1"/>
    <x v="3"/>
    <x v="4"/>
  </r>
  <r>
    <s v="U203"/>
    <x v="12"/>
    <x v="2"/>
    <x v="65"/>
    <x v="6"/>
    <x v="3"/>
    <x v="6"/>
    <x v="5"/>
    <x v="3"/>
    <x v="5"/>
  </r>
  <r>
    <s v="U204"/>
    <x v="7"/>
    <x v="2"/>
    <x v="24"/>
    <x v="1"/>
    <x v="2"/>
    <x v="6"/>
    <x v="1"/>
    <x v="3"/>
    <x v="1"/>
  </r>
  <r>
    <s v="U205"/>
    <x v="6"/>
    <x v="0"/>
    <x v="55"/>
    <x v="3"/>
    <x v="1"/>
    <x v="0"/>
    <x v="5"/>
    <x v="4"/>
    <x v="3"/>
  </r>
  <r>
    <s v="U206"/>
    <x v="2"/>
    <x v="0"/>
    <x v="53"/>
    <x v="5"/>
    <x v="5"/>
    <x v="3"/>
    <x v="5"/>
    <x v="0"/>
    <x v="0"/>
  </r>
  <r>
    <s v="U207"/>
    <x v="24"/>
    <x v="0"/>
    <x v="17"/>
    <x v="2"/>
    <x v="1"/>
    <x v="2"/>
    <x v="1"/>
    <x v="5"/>
    <x v="3"/>
  </r>
  <r>
    <s v="U208"/>
    <x v="14"/>
    <x v="0"/>
    <x v="14"/>
    <x v="3"/>
    <x v="1"/>
    <x v="2"/>
    <x v="5"/>
    <x v="1"/>
    <x v="3"/>
  </r>
  <r>
    <s v="U209"/>
    <x v="14"/>
    <x v="1"/>
    <x v="51"/>
    <x v="1"/>
    <x v="2"/>
    <x v="6"/>
    <x v="3"/>
    <x v="2"/>
    <x v="4"/>
  </r>
  <r>
    <s v="U210"/>
    <x v="0"/>
    <x v="0"/>
    <x v="66"/>
    <x v="1"/>
    <x v="0"/>
    <x v="5"/>
    <x v="5"/>
    <x v="5"/>
    <x v="4"/>
  </r>
  <r>
    <s v="U211"/>
    <x v="20"/>
    <x v="2"/>
    <x v="16"/>
    <x v="1"/>
    <x v="0"/>
    <x v="5"/>
    <x v="3"/>
    <x v="4"/>
    <x v="2"/>
  </r>
  <r>
    <s v="U212"/>
    <x v="20"/>
    <x v="0"/>
    <x v="44"/>
    <x v="3"/>
    <x v="0"/>
    <x v="3"/>
    <x v="1"/>
    <x v="1"/>
    <x v="4"/>
  </r>
  <r>
    <s v="U213"/>
    <x v="10"/>
    <x v="2"/>
    <x v="67"/>
    <x v="2"/>
    <x v="7"/>
    <x v="1"/>
    <x v="3"/>
    <x v="1"/>
    <x v="1"/>
  </r>
  <r>
    <s v="U214"/>
    <x v="17"/>
    <x v="2"/>
    <x v="51"/>
    <x v="0"/>
    <x v="2"/>
    <x v="0"/>
    <x v="4"/>
    <x v="1"/>
    <x v="4"/>
  </r>
  <r>
    <s v="U215"/>
    <x v="12"/>
    <x v="2"/>
    <x v="14"/>
    <x v="2"/>
    <x v="0"/>
    <x v="0"/>
    <x v="1"/>
    <x v="3"/>
    <x v="3"/>
  </r>
  <r>
    <s v="U216"/>
    <x v="21"/>
    <x v="2"/>
    <x v="68"/>
    <x v="1"/>
    <x v="2"/>
    <x v="1"/>
    <x v="1"/>
    <x v="2"/>
    <x v="0"/>
  </r>
  <r>
    <s v="U217"/>
    <x v="12"/>
    <x v="0"/>
    <x v="30"/>
    <x v="5"/>
    <x v="5"/>
    <x v="2"/>
    <x v="3"/>
    <x v="4"/>
    <x v="0"/>
  </r>
  <r>
    <s v="U218"/>
    <x v="22"/>
    <x v="0"/>
    <x v="22"/>
    <x v="1"/>
    <x v="0"/>
    <x v="5"/>
    <x v="5"/>
    <x v="4"/>
    <x v="2"/>
  </r>
  <r>
    <s v="U219"/>
    <x v="3"/>
    <x v="2"/>
    <x v="16"/>
    <x v="4"/>
    <x v="0"/>
    <x v="3"/>
    <x v="4"/>
    <x v="1"/>
    <x v="0"/>
  </r>
  <r>
    <s v="U220"/>
    <x v="24"/>
    <x v="2"/>
    <x v="60"/>
    <x v="1"/>
    <x v="0"/>
    <x v="6"/>
    <x v="5"/>
    <x v="4"/>
    <x v="4"/>
  </r>
  <r>
    <s v="U221"/>
    <x v="2"/>
    <x v="1"/>
    <x v="36"/>
    <x v="0"/>
    <x v="0"/>
    <x v="1"/>
    <x v="2"/>
    <x v="2"/>
    <x v="4"/>
  </r>
  <r>
    <s v="U222"/>
    <x v="18"/>
    <x v="0"/>
    <x v="46"/>
    <x v="1"/>
    <x v="0"/>
    <x v="5"/>
    <x v="5"/>
    <x v="2"/>
    <x v="2"/>
  </r>
  <r>
    <s v="U223"/>
    <x v="8"/>
    <x v="2"/>
    <x v="54"/>
    <x v="4"/>
    <x v="0"/>
    <x v="5"/>
    <x v="5"/>
    <x v="0"/>
    <x v="2"/>
  </r>
  <r>
    <s v="U224"/>
    <x v="25"/>
    <x v="2"/>
    <x v="15"/>
    <x v="0"/>
    <x v="5"/>
    <x v="6"/>
    <x v="2"/>
    <x v="0"/>
    <x v="0"/>
  </r>
  <r>
    <s v="U225"/>
    <x v="12"/>
    <x v="0"/>
    <x v="55"/>
    <x v="3"/>
    <x v="7"/>
    <x v="3"/>
    <x v="4"/>
    <x v="5"/>
    <x v="6"/>
  </r>
  <r>
    <s v="U226"/>
    <x v="13"/>
    <x v="0"/>
    <x v="5"/>
    <x v="3"/>
    <x v="2"/>
    <x v="1"/>
    <x v="5"/>
    <x v="2"/>
    <x v="3"/>
  </r>
  <r>
    <s v="U227"/>
    <x v="9"/>
    <x v="2"/>
    <x v="24"/>
    <x v="5"/>
    <x v="0"/>
    <x v="6"/>
    <x v="5"/>
    <x v="2"/>
    <x v="2"/>
  </r>
  <r>
    <s v="U228"/>
    <x v="9"/>
    <x v="2"/>
    <x v="7"/>
    <x v="5"/>
    <x v="0"/>
    <x v="6"/>
    <x v="2"/>
    <x v="2"/>
    <x v="0"/>
  </r>
  <r>
    <s v="U229"/>
    <x v="11"/>
    <x v="2"/>
    <x v="20"/>
    <x v="4"/>
    <x v="2"/>
    <x v="0"/>
    <x v="1"/>
    <x v="0"/>
    <x v="4"/>
  </r>
  <r>
    <s v="U230"/>
    <x v="2"/>
    <x v="0"/>
    <x v="32"/>
    <x v="4"/>
    <x v="5"/>
    <x v="4"/>
    <x v="1"/>
    <x v="1"/>
    <x v="0"/>
  </r>
  <r>
    <s v="U231"/>
    <x v="15"/>
    <x v="2"/>
    <x v="69"/>
    <x v="2"/>
    <x v="1"/>
    <x v="2"/>
    <x v="2"/>
    <x v="1"/>
    <x v="1"/>
  </r>
  <r>
    <s v="U232"/>
    <x v="15"/>
    <x v="0"/>
    <x v="27"/>
    <x v="0"/>
    <x v="0"/>
    <x v="3"/>
    <x v="3"/>
    <x v="4"/>
    <x v="2"/>
  </r>
  <r>
    <s v="U233"/>
    <x v="27"/>
    <x v="0"/>
    <x v="17"/>
    <x v="1"/>
    <x v="1"/>
    <x v="2"/>
    <x v="1"/>
    <x v="1"/>
    <x v="2"/>
  </r>
  <r>
    <s v="U234"/>
    <x v="3"/>
    <x v="0"/>
    <x v="35"/>
    <x v="0"/>
    <x v="2"/>
    <x v="3"/>
    <x v="5"/>
    <x v="3"/>
    <x v="2"/>
  </r>
  <r>
    <s v="U235"/>
    <x v="11"/>
    <x v="2"/>
    <x v="66"/>
    <x v="4"/>
    <x v="0"/>
    <x v="2"/>
    <x v="1"/>
    <x v="0"/>
    <x v="0"/>
  </r>
  <r>
    <s v="U236"/>
    <x v="12"/>
    <x v="2"/>
    <x v="11"/>
    <x v="2"/>
    <x v="7"/>
    <x v="3"/>
    <x v="0"/>
    <x v="2"/>
    <x v="6"/>
  </r>
  <r>
    <s v="U237"/>
    <x v="16"/>
    <x v="2"/>
    <x v="3"/>
    <x v="0"/>
    <x v="2"/>
    <x v="6"/>
    <x v="5"/>
    <x v="1"/>
    <x v="4"/>
  </r>
  <r>
    <s v="U238"/>
    <x v="12"/>
    <x v="0"/>
    <x v="26"/>
    <x v="1"/>
    <x v="1"/>
    <x v="4"/>
    <x v="5"/>
    <x v="0"/>
    <x v="4"/>
  </r>
  <r>
    <s v="U239"/>
    <x v="31"/>
    <x v="2"/>
    <x v="1"/>
    <x v="2"/>
    <x v="5"/>
    <x v="0"/>
    <x v="2"/>
    <x v="1"/>
    <x v="4"/>
  </r>
  <r>
    <s v="U240"/>
    <x v="4"/>
    <x v="0"/>
    <x v="52"/>
    <x v="1"/>
    <x v="1"/>
    <x v="3"/>
    <x v="5"/>
    <x v="5"/>
    <x v="3"/>
  </r>
  <r>
    <s v="U241"/>
    <x v="21"/>
    <x v="2"/>
    <x v="17"/>
    <x v="3"/>
    <x v="2"/>
    <x v="2"/>
    <x v="1"/>
    <x v="2"/>
    <x v="2"/>
  </r>
  <r>
    <s v="U242"/>
    <x v="25"/>
    <x v="0"/>
    <x v="70"/>
    <x v="6"/>
    <x v="7"/>
    <x v="0"/>
    <x v="1"/>
    <x v="5"/>
    <x v="6"/>
  </r>
  <r>
    <s v="U243"/>
    <x v="16"/>
    <x v="0"/>
    <x v="44"/>
    <x v="1"/>
    <x v="5"/>
    <x v="6"/>
    <x v="0"/>
    <x v="2"/>
    <x v="0"/>
  </r>
  <r>
    <s v="U244"/>
    <x v="11"/>
    <x v="0"/>
    <x v="54"/>
    <x v="1"/>
    <x v="1"/>
    <x v="5"/>
    <x v="1"/>
    <x v="0"/>
    <x v="3"/>
  </r>
  <r>
    <s v="U245"/>
    <x v="0"/>
    <x v="0"/>
    <x v="15"/>
    <x v="4"/>
    <x v="5"/>
    <x v="5"/>
    <x v="5"/>
    <x v="4"/>
    <x v="0"/>
  </r>
  <r>
    <s v="U246"/>
    <x v="26"/>
    <x v="2"/>
    <x v="66"/>
    <x v="1"/>
    <x v="0"/>
    <x v="3"/>
    <x v="2"/>
    <x v="1"/>
    <x v="4"/>
  </r>
  <r>
    <s v="U247"/>
    <x v="7"/>
    <x v="2"/>
    <x v="5"/>
    <x v="1"/>
    <x v="2"/>
    <x v="6"/>
    <x v="1"/>
    <x v="1"/>
    <x v="3"/>
  </r>
  <r>
    <s v="U248"/>
    <x v="0"/>
    <x v="0"/>
    <x v="11"/>
    <x v="1"/>
    <x v="7"/>
    <x v="0"/>
    <x v="2"/>
    <x v="3"/>
    <x v="1"/>
  </r>
  <r>
    <s v="U249"/>
    <x v="29"/>
    <x v="2"/>
    <x v="71"/>
    <x v="3"/>
    <x v="3"/>
    <x v="0"/>
    <x v="1"/>
    <x v="5"/>
    <x v="5"/>
  </r>
  <r>
    <s v="U250"/>
    <x v="12"/>
    <x v="0"/>
    <x v="60"/>
    <x v="3"/>
    <x v="5"/>
    <x v="0"/>
    <x v="1"/>
    <x v="1"/>
    <x v="2"/>
  </r>
  <r>
    <s v="U251"/>
    <x v="3"/>
    <x v="2"/>
    <x v="50"/>
    <x v="0"/>
    <x v="5"/>
    <x v="6"/>
    <x v="5"/>
    <x v="0"/>
    <x v="4"/>
  </r>
  <r>
    <s v="U252"/>
    <x v="33"/>
    <x v="2"/>
    <x v="31"/>
    <x v="1"/>
    <x v="1"/>
    <x v="3"/>
    <x v="5"/>
    <x v="4"/>
    <x v="2"/>
  </r>
  <r>
    <s v="U253"/>
    <x v="5"/>
    <x v="2"/>
    <x v="53"/>
    <x v="5"/>
    <x v="4"/>
    <x v="5"/>
    <x v="3"/>
    <x v="0"/>
    <x v="0"/>
  </r>
  <r>
    <s v="U254"/>
    <x v="12"/>
    <x v="0"/>
    <x v="43"/>
    <x v="3"/>
    <x v="1"/>
    <x v="4"/>
    <x v="4"/>
    <x v="5"/>
    <x v="2"/>
  </r>
  <r>
    <s v="U255"/>
    <x v="8"/>
    <x v="2"/>
    <x v="24"/>
    <x v="4"/>
    <x v="2"/>
    <x v="4"/>
    <x v="1"/>
    <x v="3"/>
    <x v="4"/>
  </r>
  <r>
    <s v="U256"/>
    <x v="20"/>
    <x v="2"/>
    <x v="54"/>
    <x v="2"/>
    <x v="2"/>
    <x v="5"/>
    <x v="1"/>
    <x v="1"/>
    <x v="6"/>
  </r>
  <r>
    <s v="U257"/>
    <x v="14"/>
    <x v="0"/>
    <x v="11"/>
    <x v="2"/>
    <x v="1"/>
    <x v="1"/>
    <x v="3"/>
    <x v="0"/>
    <x v="3"/>
  </r>
  <r>
    <s v="U258"/>
    <x v="29"/>
    <x v="0"/>
    <x v="60"/>
    <x v="0"/>
    <x v="1"/>
    <x v="1"/>
    <x v="0"/>
    <x v="2"/>
    <x v="4"/>
  </r>
  <r>
    <s v="U259"/>
    <x v="8"/>
    <x v="2"/>
    <x v="26"/>
    <x v="2"/>
    <x v="2"/>
    <x v="6"/>
    <x v="5"/>
    <x v="4"/>
    <x v="1"/>
  </r>
  <r>
    <s v="U260"/>
    <x v="7"/>
    <x v="2"/>
    <x v="12"/>
    <x v="2"/>
    <x v="1"/>
    <x v="5"/>
    <x v="5"/>
    <x v="0"/>
    <x v="3"/>
  </r>
  <r>
    <s v="U261"/>
    <x v="33"/>
    <x v="2"/>
    <x v="72"/>
    <x v="4"/>
    <x v="4"/>
    <x v="1"/>
    <x v="2"/>
    <x v="4"/>
    <x v="0"/>
  </r>
  <r>
    <s v="U262"/>
    <x v="9"/>
    <x v="2"/>
    <x v="30"/>
    <x v="4"/>
    <x v="0"/>
    <x v="6"/>
    <x v="3"/>
    <x v="1"/>
    <x v="0"/>
  </r>
  <r>
    <s v="U263"/>
    <x v="5"/>
    <x v="2"/>
    <x v="41"/>
    <x v="1"/>
    <x v="6"/>
    <x v="3"/>
    <x v="4"/>
    <x v="2"/>
    <x v="0"/>
  </r>
  <r>
    <s v="U264"/>
    <x v="10"/>
    <x v="0"/>
    <x v="73"/>
    <x v="2"/>
    <x v="7"/>
    <x v="7"/>
    <x v="4"/>
    <x v="3"/>
    <x v="5"/>
  </r>
  <r>
    <s v="U265"/>
    <x v="15"/>
    <x v="0"/>
    <x v="60"/>
    <x v="0"/>
    <x v="2"/>
    <x v="3"/>
    <x v="5"/>
    <x v="3"/>
    <x v="2"/>
  </r>
  <r>
    <s v="U266"/>
    <x v="10"/>
    <x v="0"/>
    <x v="68"/>
    <x v="2"/>
    <x v="1"/>
    <x v="2"/>
    <x v="2"/>
    <x v="2"/>
    <x v="3"/>
  </r>
  <r>
    <s v="U267"/>
    <x v="23"/>
    <x v="2"/>
    <x v="64"/>
    <x v="4"/>
    <x v="4"/>
    <x v="0"/>
    <x v="5"/>
    <x v="4"/>
    <x v="0"/>
  </r>
  <r>
    <s v="U268"/>
    <x v="25"/>
    <x v="0"/>
    <x v="66"/>
    <x v="0"/>
    <x v="0"/>
    <x v="2"/>
    <x v="5"/>
    <x v="1"/>
    <x v="2"/>
  </r>
  <r>
    <s v="U269"/>
    <x v="12"/>
    <x v="2"/>
    <x v="31"/>
    <x v="3"/>
    <x v="7"/>
    <x v="3"/>
    <x v="2"/>
    <x v="0"/>
    <x v="1"/>
  </r>
  <r>
    <s v="U270"/>
    <x v="19"/>
    <x v="2"/>
    <x v="47"/>
    <x v="4"/>
    <x v="0"/>
    <x v="2"/>
    <x v="5"/>
    <x v="2"/>
    <x v="0"/>
  </r>
  <r>
    <s v="U271"/>
    <x v="0"/>
    <x v="2"/>
    <x v="43"/>
    <x v="3"/>
    <x v="0"/>
    <x v="0"/>
    <x v="1"/>
    <x v="5"/>
    <x v="2"/>
  </r>
  <r>
    <s v="U272"/>
    <x v="23"/>
    <x v="0"/>
    <x v="49"/>
    <x v="4"/>
    <x v="0"/>
    <x v="5"/>
    <x v="4"/>
    <x v="4"/>
    <x v="0"/>
  </r>
  <r>
    <s v="U273"/>
    <x v="14"/>
    <x v="2"/>
    <x v="74"/>
    <x v="3"/>
    <x v="1"/>
    <x v="6"/>
    <x v="1"/>
    <x v="3"/>
    <x v="1"/>
  </r>
  <r>
    <s v="U274"/>
    <x v="7"/>
    <x v="0"/>
    <x v="31"/>
    <x v="3"/>
    <x v="2"/>
    <x v="6"/>
    <x v="3"/>
    <x v="2"/>
    <x v="4"/>
  </r>
  <r>
    <s v="U275"/>
    <x v="32"/>
    <x v="2"/>
    <x v="17"/>
    <x v="6"/>
    <x v="1"/>
    <x v="5"/>
    <x v="1"/>
    <x v="3"/>
    <x v="6"/>
  </r>
  <r>
    <s v="U276"/>
    <x v="18"/>
    <x v="0"/>
    <x v="19"/>
    <x v="0"/>
    <x v="5"/>
    <x v="3"/>
    <x v="5"/>
    <x v="4"/>
    <x v="0"/>
  </r>
  <r>
    <s v="U277"/>
    <x v="24"/>
    <x v="0"/>
    <x v="27"/>
    <x v="0"/>
    <x v="1"/>
    <x v="6"/>
    <x v="0"/>
    <x v="3"/>
    <x v="4"/>
  </r>
  <r>
    <s v="U278"/>
    <x v="30"/>
    <x v="2"/>
    <x v="16"/>
    <x v="0"/>
    <x v="0"/>
    <x v="2"/>
    <x v="0"/>
    <x v="2"/>
    <x v="0"/>
  </r>
  <r>
    <s v="U279"/>
    <x v="2"/>
    <x v="0"/>
    <x v="28"/>
    <x v="5"/>
    <x v="5"/>
    <x v="7"/>
    <x v="0"/>
    <x v="4"/>
    <x v="0"/>
  </r>
  <r>
    <s v="U280"/>
    <x v="17"/>
    <x v="0"/>
    <x v="9"/>
    <x v="3"/>
    <x v="1"/>
    <x v="1"/>
    <x v="5"/>
    <x v="5"/>
    <x v="3"/>
  </r>
  <r>
    <s v="U281"/>
    <x v="22"/>
    <x v="2"/>
    <x v="36"/>
    <x v="0"/>
    <x v="0"/>
    <x v="2"/>
    <x v="0"/>
    <x v="2"/>
    <x v="0"/>
  </r>
  <r>
    <s v="U282"/>
    <x v="13"/>
    <x v="2"/>
    <x v="2"/>
    <x v="2"/>
    <x v="7"/>
    <x v="1"/>
    <x v="1"/>
    <x v="0"/>
    <x v="6"/>
  </r>
  <r>
    <s v="U283"/>
    <x v="5"/>
    <x v="2"/>
    <x v="75"/>
    <x v="5"/>
    <x v="4"/>
    <x v="1"/>
    <x v="0"/>
    <x v="1"/>
    <x v="0"/>
  </r>
  <r>
    <s v="U284"/>
    <x v="1"/>
    <x v="2"/>
    <x v="54"/>
    <x v="1"/>
    <x v="7"/>
    <x v="6"/>
    <x v="5"/>
    <x v="2"/>
    <x v="3"/>
  </r>
  <r>
    <s v="U285"/>
    <x v="16"/>
    <x v="2"/>
    <x v="45"/>
    <x v="0"/>
    <x v="2"/>
    <x v="3"/>
    <x v="5"/>
    <x v="4"/>
    <x v="0"/>
  </r>
  <r>
    <s v="U286"/>
    <x v="27"/>
    <x v="0"/>
    <x v="27"/>
    <x v="3"/>
    <x v="0"/>
    <x v="3"/>
    <x v="1"/>
    <x v="1"/>
    <x v="4"/>
  </r>
  <r>
    <s v="U287"/>
    <x v="10"/>
    <x v="0"/>
    <x v="17"/>
    <x v="1"/>
    <x v="1"/>
    <x v="5"/>
    <x v="1"/>
    <x v="2"/>
    <x v="3"/>
  </r>
  <r>
    <s v="U288"/>
    <x v="33"/>
    <x v="0"/>
    <x v="60"/>
    <x v="1"/>
    <x v="0"/>
    <x v="6"/>
    <x v="4"/>
    <x v="5"/>
    <x v="4"/>
  </r>
  <r>
    <s v="U289"/>
    <x v="5"/>
    <x v="2"/>
    <x v="4"/>
    <x v="2"/>
    <x v="1"/>
    <x v="6"/>
    <x v="5"/>
    <x v="5"/>
    <x v="1"/>
  </r>
  <r>
    <s v="U290"/>
    <x v="9"/>
    <x v="2"/>
    <x v="34"/>
    <x v="0"/>
    <x v="5"/>
    <x v="4"/>
    <x v="4"/>
    <x v="0"/>
    <x v="4"/>
  </r>
  <r>
    <s v="U291"/>
    <x v="14"/>
    <x v="0"/>
    <x v="11"/>
    <x v="3"/>
    <x v="2"/>
    <x v="3"/>
    <x v="4"/>
    <x v="3"/>
    <x v="4"/>
  </r>
  <r>
    <s v="U292"/>
    <x v="9"/>
    <x v="0"/>
    <x v="46"/>
    <x v="5"/>
    <x v="2"/>
    <x v="0"/>
    <x v="5"/>
    <x v="1"/>
    <x v="2"/>
  </r>
  <r>
    <s v="U293"/>
    <x v="9"/>
    <x v="1"/>
    <x v="41"/>
    <x v="4"/>
    <x v="5"/>
    <x v="6"/>
    <x v="1"/>
    <x v="4"/>
    <x v="0"/>
  </r>
  <r>
    <s v="U294"/>
    <x v="26"/>
    <x v="0"/>
    <x v="16"/>
    <x v="0"/>
    <x v="0"/>
    <x v="1"/>
    <x v="5"/>
    <x v="4"/>
    <x v="0"/>
  </r>
  <r>
    <s v="U295"/>
    <x v="1"/>
    <x v="2"/>
    <x v="76"/>
    <x v="5"/>
    <x v="4"/>
    <x v="6"/>
    <x v="7"/>
    <x v="3"/>
    <x v="0"/>
  </r>
  <r>
    <s v="U296"/>
    <x v="12"/>
    <x v="2"/>
    <x v="20"/>
    <x v="3"/>
    <x v="2"/>
    <x v="0"/>
    <x v="3"/>
    <x v="5"/>
    <x v="3"/>
  </r>
  <r>
    <s v="U297"/>
    <x v="2"/>
    <x v="2"/>
    <x v="16"/>
    <x v="3"/>
    <x v="2"/>
    <x v="0"/>
    <x v="4"/>
    <x v="5"/>
    <x v="2"/>
  </r>
  <r>
    <s v="U298"/>
    <x v="31"/>
    <x v="0"/>
    <x v="23"/>
    <x v="2"/>
    <x v="1"/>
    <x v="1"/>
    <x v="3"/>
    <x v="2"/>
    <x v="6"/>
  </r>
  <r>
    <s v="U299"/>
    <x v="21"/>
    <x v="2"/>
    <x v="35"/>
    <x v="1"/>
    <x v="5"/>
    <x v="3"/>
    <x v="5"/>
    <x v="0"/>
    <x v="4"/>
  </r>
  <r>
    <s v="U300"/>
    <x v="26"/>
    <x v="2"/>
    <x v="13"/>
    <x v="4"/>
    <x v="5"/>
    <x v="6"/>
    <x v="5"/>
    <x v="1"/>
    <x v="0"/>
  </r>
  <r>
    <s v="U301"/>
    <x v="33"/>
    <x v="2"/>
    <x v="37"/>
    <x v="4"/>
    <x v="4"/>
    <x v="6"/>
    <x v="0"/>
    <x v="0"/>
    <x v="0"/>
  </r>
  <r>
    <s v="U302"/>
    <x v="11"/>
    <x v="2"/>
    <x v="14"/>
    <x v="1"/>
    <x v="2"/>
    <x v="0"/>
    <x v="2"/>
    <x v="0"/>
    <x v="3"/>
  </r>
  <r>
    <s v="U303"/>
    <x v="17"/>
    <x v="2"/>
    <x v="4"/>
    <x v="3"/>
    <x v="0"/>
    <x v="6"/>
    <x v="4"/>
    <x v="2"/>
    <x v="2"/>
  </r>
  <r>
    <s v="U304"/>
    <x v="32"/>
    <x v="2"/>
    <x v="23"/>
    <x v="2"/>
    <x v="2"/>
    <x v="0"/>
    <x v="2"/>
    <x v="0"/>
    <x v="3"/>
  </r>
  <r>
    <s v="U305"/>
    <x v="11"/>
    <x v="0"/>
    <x v="23"/>
    <x v="1"/>
    <x v="7"/>
    <x v="0"/>
    <x v="0"/>
    <x v="3"/>
    <x v="1"/>
  </r>
  <r>
    <s v="U306"/>
    <x v="4"/>
    <x v="2"/>
    <x v="60"/>
    <x v="1"/>
    <x v="0"/>
    <x v="4"/>
    <x v="5"/>
    <x v="2"/>
    <x v="0"/>
  </r>
  <r>
    <s v="U307"/>
    <x v="25"/>
    <x v="2"/>
    <x v="17"/>
    <x v="3"/>
    <x v="2"/>
    <x v="2"/>
    <x v="1"/>
    <x v="3"/>
    <x v="3"/>
  </r>
  <r>
    <s v="U308"/>
    <x v="4"/>
    <x v="0"/>
    <x v="6"/>
    <x v="3"/>
    <x v="7"/>
    <x v="0"/>
    <x v="5"/>
    <x v="2"/>
    <x v="1"/>
  </r>
  <r>
    <s v="U309"/>
    <x v="16"/>
    <x v="2"/>
    <x v="16"/>
    <x v="3"/>
    <x v="0"/>
    <x v="5"/>
    <x v="4"/>
    <x v="0"/>
    <x v="2"/>
  </r>
  <r>
    <s v="U310"/>
    <x v="23"/>
    <x v="2"/>
    <x v="17"/>
    <x v="4"/>
    <x v="7"/>
    <x v="5"/>
    <x v="4"/>
    <x v="3"/>
    <x v="3"/>
  </r>
  <r>
    <s v="U311"/>
    <x v="23"/>
    <x v="2"/>
    <x v="63"/>
    <x v="0"/>
    <x v="0"/>
    <x v="6"/>
    <x v="1"/>
    <x v="3"/>
    <x v="4"/>
  </r>
  <r>
    <s v="U312"/>
    <x v="5"/>
    <x v="0"/>
    <x v="66"/>
    <x v="0"/>
    <x v="0"/>
    <x v="0"/>
    <x v="2"/>
    <x v="3"/>
    <x v="4"/>
  </r>
  <r>
    <s v="U313"/>
    <x v="19"/>
    <x v="0"/>
    <x v="22"/>
    <x v="3"/>
    <x v="1"/>
    <x v="7"/>
    <x v="2"/>
    <x v="2"/>
    <x v="3"/>
  </r>
  <r>
    <s v="U314"/>
    <x v="13"/>
    <x v="1"/>
    <x v="19"/>
    <x v="0"/>
    <x v="2"/>
    <x v="0"/>
    <x v="2"/>
    <x v="4"/>
    <x v="2"/>
  </r>
  <r>
    <s v="U315"/>
    <x v="30"/>
    <x v="2"/>
    <x v="60"/>
    <x v="1"/>
    <x v="0"/>
    <x v="4"/>
    <x v="3"/>
    <x v="0"/>
    <x v="4"/>
  </r>
  <r>
    <s v="U316"/>
    <x v="30"/>
    <x v="0"/>
    <x v="15"/>
    <x v="0"/>
    <x v="5"/>
    <x v="1"/>
    <x v="4"/>
    <x v="3"/>
    <x v="0"/>
  </r>
  <r>
    <s v="U317"/>
    <x v="27"/>
    <x v="2"/>
    <x v="36"/>
    <x v="0"/>
    <x v="1"/>
    <x v="6"/>
    <x v="5"/>
    <x v="1"/>
    <x v="2"/>
  </r>
  <r>
    <s v="U318"/>
    <x v="33"/>
    <x v="2"/>
    <x v="10"/>
    <x v="3"/>
    <x v="1"/>
    <x v="7"/>
    <x v="5"/>
    <x v="4"/>
    <x v="2"/>
  </r>
  <r>
    <s v="U319"/>
    <x v="14"/>
    <x v="2"/>
    <x v="42"/>
    <x v="4"/>
    <x v="2"/>
    <x v="3"/>
    <x v="0"/>
    <x v="1"/>
    <x v="2"/>
  </r>
  <r>
    <s v="U320"/>
    <x v="30"/>
    <x v="2"/>
    <x v="51"/>
    <x v="5"/>
    <x v="5"/>
    <x v="4"/>
    <x v="5"/>
    <x v="0"/>
    <x v="0"/>
  </r>
  <r>
    <s v="U321"/>
    <x v="17"/>
    <x v="0"/>
    <x v="47"/>
    <x v="1"/>
    <x v="1"/>
    <x v="4"/>
    <x v="2"/>
    <x v="0"/>
    <x v="3"/>
  </r>
  <r>
    <s v="U322"/>
    <x v="31"/>
    <x v="0"/>
    <x v="10"/>
    <x v="1"/>
    <x v="0"/>
    <x v="3"/>
    <x v="5"/>
    <x v="3"/>
    <x v="2"/>
  </r>
  <r>
    <s v="U323"/>
    <x v="9"/>
    <x v="0"/>
    <x v="60"/>
    <x v="0"/>
    <x v="2"/>
    <x v="1"/>
    <x v="2"/>
    <x v="3"/>
    <x v="2"/>
  </r>
  <r>
    <s v="U324"/>
    <x v="0"/>
    <x v="2"/>
    <x v="11"/>
    <x v="0"/>
    <x v="1"/>
    <x v="3"/>
    <x v="1"/>
    <x v="2"/>
    <x v="4"/>
  </r>
  <r>
    <s v="U325"/>
    <x v="8"/>
    <x v="0"/>
    <x v="76"/>
    <x v="5"/>
    <x v="6"/>
    <x v="2"/>
    <x v="5"/>
    <x v="4"/>
    <x v="0"/>
  </r>
  <r>
    <s v="U326"/>
    <x v="13"/>
    <x v="0"/>
    <x v="71"/>
    <x v="8"/>
    <x v="7"/>
    <x v="6"/>
    <x v="5"/>
    <x v="4"/>
    <x v="6"/>
  </r>
  <r>
    <s v="U327"/>
    <x v="23"/>
    <x v="0"/>
    <x v="30"/>
    <x v="1"/>
    <x v="4"/>
    <x v="1"/>
    <x v="5"/>
    <x v="3"/>
    <x v="4"/>
  </r>
  <r>
    <s v="U328"/>
    <x v="17"/>
    <x v="2"/>
    <x v="17"/>
    <x v="1"/>
    <x v="2"/>
    <x v="4"/>
    <x v="5"/>
    <x v="0"/>
    <x v="2"/>
  </r>
  <r>
    <s v="U329"/>
    <x v="9"/>
    <x v="2"/>
    <x v="50"/>
    <x v="0"/>
    <x v="4"/>
    <x v="0"/>
    <x v="1"/>
    <x v="3"/>
    <x v="0"/>
  </r>
  <r>
    <s v="U330"/>
    <x v="0"/>
    <x v="0"/>
    <x v="35"/>
    <x v="4"/>
    <x v="0"/>
    <x v="3"/>
    <x v="5"/>
    <x v="0"/>
    <x v="0"/>
  </r>
  <r>
    <s v="U331"/>
    <x v="22"/>
    <x v="0"/>
    <x v="20"/>
    <x v="4"/>
    <x v="2"/>
    <x v="6"/>
    <x v="5"/>
    <x v="0"/>
    <x v="3"/>
  </r>
  <r>
    <s v="U332"/>
    <x v="16"/>
    <x v="2"/>
    <x v="19"/>
    <x v="1"/>
    <x v="6"/>
    <x v="6"/>
    <x v="5"/>
    <x v="3"/>
    <x v="0"/>
  </r>
  <r>
    <s v="U333"/>
    <x v="31"/>
    <x v="0"/>
    <x v="2"/>
    <x v="2"/>
    <x v="7"/>
    <x v="3"/>
    <x v="5"/>
    <x v="5"/>
    <x v="1"/>
  </r>
  <r>
    <s v="U334"/>
    <x v="11"/>
    <x v="0"/>
    <x v="36"/>
    <x v="0"/>
    <x v="4"/>
    <x v="6"/>
    <x v="1"/>
    <x v="4"/>
    <x v="0"/>
  </r>
  <r>
    <s v="U335"/>
    <x v="31"/>
    <x v="0"/>
    <x v="43"/>
    <x v="0"/>
    <x v="2"/>
    <x v="3"/>
    <x v="2"/>
    <x v="1"/>
    <x v="3"/>
  </r>
  <r>
    <s v="U336"/>
    <x v="13"/>
    <x v="0"/>
    <x v="50"/>
    <x v="4"/>
    <x v="0"/>
    <x v="4"/>
    <x v="4"/>
    <x v="0"/>
    <x v="0"/>
  </r>
  <r>
    <s v="U337"/>
    <x v="17"/>
    <x v="0"/>
    <x v="9"/>
    <x v="1"/>
    <x v="2"/>
    <x v="1"/>
    <x v="1"/>
    <x v="0"/>
    <x v="2"/>
  </r>
  <r>
    <s v="U338"/>
    <x v="23"/>
    <x v="2"/>
    <x v="73"/>
    <x v="2"/>
    <x v="7"/>
    <x v="3"/>
    <x v="5"/>
    <x v="5"/>
    <x v="3"/>
  </r>
  <r>
    <s v="U339"/>
    <x v="23"/>
    <x v="0"/>
    <x v="26"/>
    <x v="3"/>
    <x v="3"/>
    <x v="7"/>
    <x v="1"/>
    <x v="1"/>
    <x v="3"/>
  </r>
  <r>
    <s v="U340"/>
    <x v="3"/>
    <x v="2"/>
    <x v="27"/>
    <x v="0"/>
    <x v="2"/>
    <x v="1"/>
    <x v="5"/>
    <x v="2"/>
    <x v="4"/>
  </r>
  <r>
    <s v="U341"/>
    <x v="12"/>
    <x v="0"/>
    <x v="7"/>
    <x v="1"/>
    <x v="2"/>
    <x v="6"/>
    <x v="3"/>
    <x v="5"/>
    <x v="2"/>
  </r>
  <r>
    <s v="U342"/>
    <x v="11"/>
    <x v="2"/>
    <x v="22"/>
    <x v="1"/>
    <x v="0"/>
    <x v="2"/>
    <x v="1"/>
    <x v="1"/>
    <x v="3"/>
  </r>
  <r>
    <s v="U343"/>
    <x v="5"/>
    <x v="2"/>
    <x v="54"/>
    <x v="0"/>
    <x v="2"/>
    <x v="2"/>
    <x v="2"/>
    <x v="5"/>
    <x v="2"/>
  </r>
  <r>
    <s v="U344"/>
    <x v="28"/>
    <x v="0"/>
    <x v="10"/>
    <x v="3"/>
    <x v="7"/>
    <x v="1"/>
    <x v="4"/>
    <x v="0"/>
    <x v="2"/>
  </r>
  <r>
    <s v="U345"/>
    <x v="31"/>
    <x v="2"/>
    <x v="15"/>
    <x v="1"/>
    <x v="5"/>
    <x v="0"/>
    <x v="5"/>
    <x v="4"/>
    <x v="0"/>
  </r>
  <r>
    <s v="U346"/>
    <x v="27"/>
    <x v="0"/>
    <x v="35"/>
    <x v="1"/>
    <x v="1"/>
    <x v="2"/>
    <x v="4"/>
    <x v="5"/>
    <x v="2"/>
  </r>
  <r>
    <s v="U347"/>
    <x v="29"/>
    <x v="1"/>
    <x v="53"/>
    <x v="0"/>
    <x v="0"/>
    <x v="2"/>
    <x v="5"/>
    <x v="2"/>
    <x v="0"/>
  </r>
  <r>
    <s v="U348"/>
    <x v="28"/>
    <x v="0"/>
    <x v="40"/>
    <x v="3"/>
    <x v="1"/>
    <x v="0"/>
    <x v="1"/>
    <x v="3"/>
    <x v="2"/>
  </r>
  <r>
    <s v="U349"/>
    <x v="4"/>
    <x v="0"/>
    <x v="32"/>
    <x v="4"/>
    <x v="4"/>
    <x v="1"/>
    <x v="4"/>
    <x v="1"/>
    <x v="0"/>
  </r>
  <r>
    <s v="U350"/>
    <x v="33"/>
    <x v="0"/>
    <x v="20"/>
    <x v="1"/>
    <x v="2"/>
    <x v="6"/>
    <x v="5"/>
    <x v="5"/>
    <x v="2"/>
  </r>
  <r>
    <s v="U351"/>
    <x v="30"/>
    <x v="1"/>
    <x v="55"/>
    <x v="3"/>
    <x v="7"/>
    <x v="5"/>
    <x v="5"/>
    <x v="5"/>
    <x v="2"/>
  </r>
  <r>
    <s v="U352"/>
    <x v="31"/>
    <x v="2"/>
    <x v="16"/>
    <x v="1"/>
    <x v="5"/>
    <x v="6"/>
    <x v="1"/>
    <x v="2"/>
    <x v="4"/>
  </r>
  <r>
    <s v="U353"/>
    <x v="21"/>
    <x v="2"/>
    <x v="27"/>
    <x v="1"/>
    <x v="1"/>
    <x v="6"/>
    <x v="1"/>
    <x v="4"/>
    <x v="4"/>
  </r>
  <r>
    <s v="U354"/>
    <x v="17"/>
    <x v="0"/>
    <x v="77"/>
    <x v="3"/>
    <x v="7"/>
    <x v="0"/>
    <x v="5"/>
    <x v="5"/>
    <x v="1"/>
  </r>
  <r>
    <s v="U355"/>
    <x v="7"/>
    <x v="2"/>
    <x v="43"/>
    <x v="3"/>
    <x v="5"/>
    <x v="1"/>
    <x v="3"/>
    <x v="5"/>
    <x v="0"/>
  </r>
  <r>
    <s v="U356"/>
    <x v="17"/>
    <x v="0"/>
    <x v="27"/>
    <x v="1"/>
    <x v="0"/>
    <x v="0"/>
    <x v="5"/>
    <x v="4"/>
    <x v="2"/>
  </r>
  <r>
    <s v="U357"/>
    <x v="10"/>
    <x v="2"/>
    <x v="28"/>
    <x v="5"/>
    <x v="4"/>
    <x v="1"/>
    <x v="4"/>
    <x v="2"/>
    <x v="0"/>
  </r>
  <r>
    <s v="U358"/>
    <x v="16"/>
    <x v="0"/>
    <x v="50"/>
    <x v="4"/>
    <x v="5"/>
    <x v="3"/>
    <x v="2"/>
    <x v="1"/>
    <x v="0"/>
  </r>
  <r>
    <s v="U359"/>
    <x v="33"/>
    <x v="0"/>
    <x v="2"/>
    <x v="1"/>
    <x v="2"/>
    <x v="1"/>
    <x v="5"/>
    <x v="1"/>
    <x v="3"/>
  </r>
  <r>
    <s v="U360"/>
    <x v="15"/>
    <x v="0"/>
    <x v="43"/>
    <x v="3"/>
    <x v="2"/>
    <x v="2"/>
    <x v="5"/>
    <x v="5"/>
    <x v="2"/>
  </r>
  <r>
    <s v="U361"/>
    <x v="24"/>
    <x v="2"/>
    <x v="21"/>
    <x v="2"/>
    <x v="7"/>
    <x v="6"/>
    <x v="3"/>
    <x v="4"/>
    <x v="3"/>
  </r>
  <r>
    <s v="U362"/>
    <x v="7"/>
    <x v="2"/>
    <x v="5"/>
    <x v="1"/>
    <x v="2"/>
    <x v="6"/>
    <x v="2"/>
    <x v="5"/>
    <x v="3"/>
  </r>
  <r>
    <s v="U363"/>
    <x v="13"/>
    <x v="0"/>
    <x v="6"/>
    <x v="3"/>
    <x v="1"/>
    <x v="5"/>
    <x v="4"/>
    <x v="3"/>
    <x v="1"/>
  </r>
  <r>
    <s v="U364"/>
    <x v="12"/>
    <x v="2"/>
    <x v="16"/>
    <x v="4"/>
    <x v="0"/>
    <x v="1"/>
    <x v="3"/>
    <x v="1"/>
    <x v="0"/>
  </r>
  <r>
    <s v="U365"/>
    <x v="12"/>
    <x v="0"/>
    <x v="3"/>
    <x v="0"/>
    <x v="2"/>
    <x v="2"/>
    <x v="1"/>
    <x v="0"/>
    <x v="4"/>
  </r>
  <r>
    <s v="U366"/>
    <x v="13"/>
    <x v="2"/>
    <x v="15"/>
    <x v="4"/>
    <x v="5"/>
    <x v="0"/>
    <x v="2"/>
    <x v="3"/>
    <x v="0"/>
  </r>
  <r>
    <s v="U367"/>
    <x v="8"/>
    <x v="0"/>
    <x v="49"/>
    <x v="5"/>
    <x v="5"/>
    <x v="2"/>
    <x v="1"/>
    <x v="5"/>
    <x v="0"/>
  </r>
  <r>
    <s v="U368"/>
    <x v="30"/>
    <x v="0"/>
    <x v="28"/>
    <x v="4"/>
    <x v="4"/>
    <x v="3"/>
    <x v="4"/>
    <x v="2"/>
    <x v="0"/>
  </r>
  <r>
    <s v="U369"/>
    <x v="12"/>
    <x v="2"/>
    <x v="30"/>
    <x v="1"/>
    <x v="5"/>
    <x v="5"/>
    <x v="5"/>
    <x v="1"/>
    <x v="0"/>
  </r>
  <r>
    <s v="U370"/>
    <x v="28"/>
    <x v="0"/>
    <x v="56"/>
    <x v="3"/>
    <x v="1"/>
    <x v="3"/>
    <x v="5"/>
    <x v="0"/>
    <x v="3"/>
  </r>
  <r>
    <s v="U371"/>
    <x v="0"/>
    <x v="0"/>
    <x v="41"/>
    <x v="5"/>
    <x v="5"/>
    <x v="1"/>
    <x v="2"/>
    <x v="3"/>
    <x v="0"/>
  </r>
  <r>
    <s v="U372"/>
    <x v="32"/>
    <x v="2"/>
    <x v="16"/>
    <x v="0"/>
    <x v="5"/>
    <x v="3"/>
    <x v="3"/>
    <x v="1"/>
    <x v="4"/>
  </r>
  <r>
    <s v="U373"/>
    <x v="13"/>
    <x v="1"/>
    <x v="49"/>
    <x v="5"/>
    <x v="0"/>
    <x v="3"/>
    <x v="0"/>
    <x v="4"/>
    <x v="0"/>
  </r>
  <r>
    <s v="U374"/>
    <x v="29"/>
    <x v="0"/>
    <x v="42"/>
    <x v="0"/>
    <x v="2"/>
    <x v="1"/>
    <x v="2"/>
    <x v="2"/>
    <x v="2"/>
  </r>
  <r>
    <s v="U375"/>
    <x v="10"/>
    <x v="0"/>
    <x v="47"/>
    <x v="1"/>
    <x v="2"/>
    <x v="2"/>
    <x v="0"/>
    <x v="3"/>
    <x v="4"/>
  </r>
  <r>
    <s v="U376"/>
    <x v="5"/>
    <x v="2"/>
    <x v="46"/>
    <x v="4"/>
    <x v="5"/>
    <x v="4"/>
    <x v="2"/>
    <x v="4"/>
    <x v="0"/>
  </r>
  <r>
    <s v="U377"/>
    <x v="25"/>
    <x v="0"/>
    <x v="11"/>
    <x v="2"/>
    <x v="2"/>
    <x v="0"/>
    <x v="1"/>
    <x v="5"/>
    <x v="1"/>
  </r>
  <r>
    <s v="U378"/>
    <x v="23"/>
    <x v="0"/>
    <x v="56"/>
    <x v="2"/>
    <x v="3"/>
    <x v="6"/>
    <x v="2"/>
    <x v="4"/>
    <x v="1"/>
  </r>
  <r>
    <s v="U379"/>
    <x v="2"/>
    <x v="0"/>
    <x v="75"/>
    <x v="5"/>
    <x v="6"/>
    <x v="0"/>
    <x v="1"/>
    <x v="3"/>
    <x v="0"/>
  </r>
  <r>
    <s v="U380"/>
    <x v="0"/>
    <x v="2"/>
    <x v="19"/>
    <x v="4"/>
    <x v="2"/>
    <x v="3"/>
    <x v="5"/>
    <x v="3"/>
    <x v="0"/>
  </r>
  <r>
    <s v="U381"/>
    <x v="23"/>
    <x v="2"/>
    <x v="22"/>
    <x v="1"/>
    <x v="2"/>
    <x v="0"/>
    <x v="5"/>
    <x v="5"/>
    <x v="4"/>
  </r>
  <r>
    <s v="U382"/>
    <x v="28"/>
    <x v="0"/>
    <x v="11"/>
    <x v="2"/>
    <x v="1"/>
    <x v="6"/>
    <x v="1"/>
    <x v="4"/>
    <x v="3"/>
  </r>
  <r>
    <s v="U383"/>
    <x v="23"/>
    <x v="0"/>
    <x v="7"/>
    <x v="1"/>
    <x v="0"/>
    <x v="2"/>
    <x v="5"/>
    <x v="4"/>
    <x v="4"/>
  </r>
  <r>
    <s v="U384"/>
    <x v="27"/>
    <x v="0"/>
    <x v="51"/>
    <x v="0"/>
    <x v="5"/>
    <x v="1"/>
    <x v="3"/>
    <x v="5"/>
    <x v="0"/>
  </r>
  <r>
    <s v="U385"/>
    <x v="18"/>
    <x v="2"/>
    <x v="45"/>
    <x v="4"/>
    <x v="0"/>
    <x v="3"/>
    <x v="4"/>
    <x v="4"/>
    <x v="0"/>
  </r>
  <r>
    <s v="U386"/>
    <x v="21"/>
    <x v="0"/>
    <x v="41"/>
    <x v="4"/>
    <x v="5"/>
    <x v="0"/>
    <x v="2"/>
    <x v="1"/>
    <x v="4"/>
  </r>
  <r>
    <s v="U387"/>
    <x v="6"/>
    <x v="0"/>
    <x v="77"/>
    <x v="3"/>
    <x v="2"/>
    <x v="0"/>
    <x v="1"/>
    <x v="5"/>
    <x v="3"/>
  </r>
  <r>
    <s v="U388"/>
    <x v="0"/>
    <x v="2"/>
    <x v="59"/>
    <x v="5"/>
    <x v="4"/>
    <x v="3"/>
    <x v="4"/>
    <x v="2"/>
    <x v="0"/>
  </r>
  <r>
    <s v="U389"/>
    <x v="14"/>
    <x v="0"/>
    <x v="38"/>
    <x v="2"/>
    <x v="3"/>
    <x v="0"/>
    <x v="5"/>
    <x v="3"/>
    <x v="1"/>
  </r>
  <r>
    <s v="U390"/>
    <x v="3"/>
    <x v="2"/>
    <x v="21"/>
    <x v="3"/>
    <x v="1"/>
    <x v="6"/>
    <x v="4"/>
    <x v="2"/>
    <x v="2"/>
  </r>
  <r>
    <s v="U391"/>
    <x v="28"/>
    <x v="0"/>
    <x v="35"/>
    <x v="0"/>
    <x v="2"/>
    <x v="1"/>
    <x v="1"/>
    <x v="1"/>
    <x v="2"/>
  </r>
  <r>
    <s v="U392"/>
    <x v="19"/>
    <x v="0"/>
    <x v="43"/>
    <x v="0"/>
    <x v="0"/>
    <x v="2"/>
    <x v="2"/>
    <x v="1"/>
    <x v="3"/>
  </r>
  <r>
    <s v="U393"/>
    <x v="7"/>
    <x v="0"/>
    <x v="16"/>
    <x v="3"/>
    <x v="0"/>
    <x v="3"/>
    <x v="0"/>
    <x v="0"/>
    <x v="2"/>
  </r>
  <r>
    <s v="U394"/>
    <x v="20"/>
    <x v="2"/>
    <x v="17"/>
    <x v="1"/>
    <x v="2"/>
    <x v="3"/>
    <x v="2"/>
    <x v="0"/>
    <x v="4"/>
  </r>
  <r>
    <s v="U395"/>
    <x v="33"/>
    <x v="2"/>
    <x v="36"/>
    <x v="0"/>
    <x v="2"/>
    <x v="6"/>
    <x v="5"/>
    <x v="0"/>
    <x v="4"/>
  </r>
  <r>
    <s v="U396"/>
    <x v="7"/>
    <x v="2"/>
    <x v="43"/>
    <x v="3"/>
    <x v="2"/>
    <x v="0"/>
    <x v="5"/>
    <x v="5"/>
    <x v="2"/>
  </r>
  <r>
    <s v="U397"/>
    <x v="5"/>
    <x v="0"/>
    <x v="9"/>
    <x v="4"/>
    <x v="7"/>
    <x v="1"/>
    <x v="1"/>
    <x v="4"/>
    <x v="2"/>
  </r>
  <r>
    <s v="U398"/>
    <x v="33"/>
    <x v="2"/>
    <x v="50"/>
    <x v="4"/>
    <x v="4"/>
    <x v="0"/>
    <x v="4"/>
    <x v="1"/>
    <x v="0"/>
  </r>
  <r>
    <s v="U399"/>
    <x v="13"/>
    <x v="0"/>
    <x v="30"/>
    <x v="0"/>
    <x v="5"/>
    <x v="5"/>
    <x v="4"/>
    <x v="2"/>
    <x v="0"/>
  </r>
  <r>
    <s v="U400"/>
    <x v="32"/>
    <x v="0"/>
    <x v="33"/>
    <x v="4"/>
    <x v="5"/>
    <x v="3"/>
    <x v="1"/>
    <x v="2"/>
    <x v="0"/>
  </r>
  <r>
    <s v="U401"/>
    <x v="5"/>
    <x v="2"/>
    <x v="26"/>
    <x v="3"/>
    <x v="1"/>
    <x v="2"/>
    <x v="5"/>
    <x v="2"/>
    <x v="4"/>
  </r>
  <r>
    <s v="U402"/>
    <x v="14"/>
    <x v="0"/>
    <x v="42"/>
    <x v="0"/>
    <x v="5"/>
    <x v="3"/>
    <x v="3"/>
    <x v="2"/>
    <x v="0"/>
  </r>
  <r>
    <s v="U403"/>
    <x v="11"/>
    <x v="0"/>
    <x v="72"/>
    <x v="7"/>
    <x v="5"/>
    <x v="4"/>
    <x v="2"/>
    <x v="0"/>
    <x v="0"/>
  </r>
  <r>
    <s v="U404"/>
    <x v="25"/>
    <x v="0"/>
    <x v="17"/>
    <x v="1"/>
    <x v="1"/>
    <x v="3"/>
    <x v="0"/>
    <x v="2"/>
    <x v="3"/>
  </r>
  <r>
    <s v="U405"/>
    <x v="24"/>
    <x v="0"/>
    <x v="57"/>
    <x v="2"/>
    <x v="7"/>
    <x v="1"/>
    <x v="3"/>
    <x v="4"/>
    <x v="1"/>
  </r>
  <r>
    <s v="U406"/>
    <x v="14"/>
    <x v="0"/>
    <x v="31"/>
    <x v="6"/>
    <x v="1"/>
    <x v="7"/>
    <x v="2"/>
    <x v="0"/>
    <x v="1"/>
  </r>
  <r>
    <s v="U407"/>
    <x v="9"/>
    <x v="2"/>
    <x v="42"/>
    <x v="0"/>
    <x v="0"/>
    <x v="1"/>
    <x v="4"/>
    <x v="2"/>
    <x v="0"/>
  </r>
  <r>
    <s v="U408"/>
    <x v="32"/>
    <x v="0"/>
    <x v="64"/>
    <x v="7"/>
    <x v="6"/>
    <x v="3"/>
    <x v="1"/>
    <x v="5"/>
    <x v="0"/>
  </r>
  <r>
    <s v="U409"/>
    <x v="4"/>
    <x v="2"/>
    <x v="60"/>
    <x v="1"/>
    <x v="0"/>
    <x v="4"/>
    <x v="4"/>
    <x v="3"/>
    <x v="2"/>
  </r>
  <r>
    <s v="U410"/>
    <x v="13"/>
    <x v="2"/>
    <x v="36"/>
    <x v="2"/>
    <x v="2"/>
    <x v="7"/>
    <x v="1"/>
    <x v="3"/>
    <x v="4"/>
  </r>
  <r>
    <s v="U411"/>
    <x v="4"/>
    <x v="0"/>
    <x v="50"/>
    <x v="0"/>
    <x v="0"/>
    <x v="7"/>
    <x v="0"/>
    <x v="3"/>
    <x v="0"/>
  </r>
  <r>
    <s v="U412"/>
    <x v="13"/>
    <x v="0"/>
    <x v="43"/>
    <x v="0"/>
    <x v="2"/>
    <x v="0"/>
    <x v="1"/>
    <x v="0"/>
    <x v="0"/>
  </r>
  <r>
    <s v="U413"/>
    <x v="19"/>
    <x v="0"/>
    <x v="69"/>
    <x v="3"/>
    <x v="7"/>
    <x v="5"/>
    <x v="1"/>
    <x v="2"/>
    <x v="1"/>
  </r>
  <r>
    <s v="U414"/>
    <x v="18"/>
    <x v="2"/>
    <x v="54"/>
    <x v="3"/>
    <x v="0"/>
    <x v="0"/>
    <x v="2"/>
    <x v="1"/>
    <x v="4"/>
  </r>
  <r>
    <s v="U415"/>
    <x v="16"/>
    <x v="0"/>
    <x v="47"/>
    <x v="1"/>
    <x v="2"/>
    <x v="3"/>
    <x v="1"/>
    <x v="1"/>
    <x v="4"/>
  </r>
  <r>
    <s v="U416"/>
    <x v="22"/>
    <x v="2"/>
    <x v="50"/>
    <x v="0"/>
    <x v="0"/>
    <x v="6"/>
    <x v="5"/>
    <x v="1"/>
    <x v="2"/>
  </r>
  <r>
    <s v="U417"/>
    <x v="29"/>
    <x v="0"/>
    <x v="74"/>
    <x v="2"/>
    <x v="1"/>
    <x v="6"/>
    <x v="5"/>
    <x v="0"/>
    <x v="4"/>
  </r>
  <r>
    <s v="U418"/>
    <x v="4"/>
    <x v="2"/>
    <x v="9"/>
    <x v="2"/>
    <x v="5"/>
    <x v="3"/>
    <x v="4"/>
    <x v="4"/>
    <x v="0"/>
  </r>
  <r>
    <s v="U419"/>
    <x v="17"/>
    <x v="0"/>
    <x v="66"/>
    <x v="4"/>
    <x v="5"/>
    <x v="5"/>
    <x v="4"/>
    <x v="5"/>
    <x v="0"/>
  </r>
  <r>
    <s v="U420"/>
    <x v="31"/>
    <x v="0"/>
    <x v="22"/>
    <x v="4"/>
    <x v="1"/>
    <x v="6"/>
    <x v="0"/>
    <x v="5"/>
    <x v="2"/>
  </r>
  <r>
    <s v="U421"/>
    <x v="13"/>
    <x v="1"/>
    <x v="10"/>
    <x v="2"/>
    <x v="7"/>
    <x v="1"/>
    <x v="0"/>
    <x v="3"/>
    <x v="1"/>
  </r>
  <r>
    <s v="U422"/>
    <x v="14"/>
    <x v="2"/>
    <x v="47"/>
    <x v="0"/>
    <x v="1"/>
    <x v="3"/>
    <x v="4"/>
    <x v="3"/>
    <x v="2"/>
  </r>
  <r>
    <s v="U423"/>
    <x v="3"/>
    <x v="0"/>
    <x v="23"/>
    <x v="3"/>
    <x v="1"/>
    <x v="3"/>
    <x v="3"/>
    <x v="1"/>
    <x v="2"/>
  </r>
  <r>
    <s v="U424"/>
    <x v="5"/>
    <x v="2"/>
    <x v="17"/>
    <x v="0"/>
    <x v="0"/>
    <x v="4"/>
    <x v="0"/>
    <x v="1"/>
    <x v="0"/>
  </r>
  <r>
    <s v="U425"/>
    <x v="17"/>
    <x v="2"/>
    <x v="16"/>
    <x v="0"/>
    <x v="0"/>
    <x v="6"/>
    <x v="4"/>
    <x v="3"/>
    <x v="0"/>
  </r>
  <r>
    <s v="U426"/>
    <x v="22"/>
    <x v="2"/>
    <x v="17"/>
    <x v="1"/>
    <x v="7"/>
    <x v="0"/>
    <x v="2"/>
    <x v="2"/>
    <x v="2"/>
  </r>
  <r>
    <s v="U427"/>
    <x v="29"/>
    <x v="2"/>
    <x v="14"/>
    <x v="1"/>
    <x v="1"/>
    <x v="1"/>
    <x v="4"/>
    <x v="4"/>
    <x v="2"/>
  </r>
  <r>
    <s v="U428"/>
    <x v="31"/>
    <x v="0"/>
    <x v="49"/>
    <x v="0"/>
    <x v="5"/>
    <x v="1"/>
    <x v="2"/>
    <x v="4"/>
    <x v="4"/>
  </r>
  <r>
    <s v="U429"/>
    <x v="5"/>
    <x v="0"/>
    <x v="39"/>
    <x v="1"/>
    <x v="7"/>
    <x v="3"/>
    <x v="1"/>
    <x v="4"/>
    <x v="2"/>
  </r>
  <r>
    <s v="U430"/>
    <x v="0"/>
    <x v="0"/>
    <x v="16"/>
    <x v="1"/>
    <x v="5"/>
    <x v="6"/>
    <x v="2"/>
    <x v="4"/>
    <x v="0"/>
  </r>
  <r>
    <s v="U431"/>
    <x v="6"/>
    <x v="2"/>
    <x v="16"/>
    <x v="1"/>
    <x v="0"/>
    <x v="6"/>
    <x v="2"/>
    <x v="3"/>
    <x v="0"/>
  </r>
  <r>
    <s v="U432"/>
    <x v="20"/>
    <x v="2"/>
    <x v="31"/>
    <x v="1"/>
    <x v="2"/>
    <x v="5"/>
    <x v="4"/>
    <x v="5"/>
    <x v="3"/>
  </r>
  <r>
    <s v="U433"/>
    <x v="13"/>
    <x v="0"/>
    <x v="21"/>
    <x v="3"/>
    <x v="1"/>
    <x v="1"/>
    <x v="4"/>
    <x v="3"/>
    <x v="3"/>
  </r>
  <r>
    <s v="U434"/>
    <x v="19"/>
    <x v="0"/>
    <x v="46"/>
    <x v="4"/>
    <x v="2"/>
    <x v="1"/>
    <x v="1"/>
    <x v="4"/>
    <x v="3"/>
  </r>
  <r>
    <s v="U435"/>
    <x v="28"/>
    <x v="2"/>
    <x v="31"/>
    <x v="0"/>
    <x v="2"/>
    <x v="5"/>
    <x v="5"/>
    <x v="3"/>
    <x v="4"/>
  </r>
  <r>
    <s v="U436"/>
    <x v="25"/>
    <x v="1"/>
    <x v="66"/>
    <x v="4"/>
    <x v="5"/>
    <x v="1"/>
    <x v="3"/>
    <x v="4"/>
    <x v="0"/>
  </r>
  <r>
    <s v="U437"/>
    <x v="18"/>
    <x v="2"/>
    <x v="69"/>
    <x v="8"/>
    <x v="7"/>
    <x v="3"/>
    <x v="5"/>
    <x v="0"/>
    <x v="3"/>
  </r>
  <r>
    <s v="U438"/>
    <x v="32"/>
    <x v="0"/>
    <x v="37"/>
    <x v="0"/>
    <x v="5"/>
    <x v="2"/>
    <x v="1"/>
    <x v="1"/>
    <x v="4"/>
  </r>
  <r>
    <s v="U439"/>
    <x v="19"/>
    <x v="0"/>
    <x v="54"/>
    <x v="0"/>
    <x v="0"/>
    <x v="2"/>
    <x v="5"/>
    <x v="5"/>
    <x v="2"/>
  </r>
  <r>
    <s v="U440"/>
    <x v="15"/>
    <x v="0"/>
    <x v="32"/>
    <x v="1"/>
    <x v="0"/>
    <x v="3"/>
    <x v="5"/>
    <x v="0"/>
    <x v="4"/>
  </r>
  <r>
    <s v="U441"/>
    <x v="10"/>
    <x v="2"/>
    <x v="78"/>
    <x v="2"/>
    <x v="7"/>
    <x v="0"/>
    <x v="5"/>
    <x v="2"/>
    <x v="5"/>
  </r>
  <r>
    <s v="U442"/>
    <x v="31"/>
    <x v="0"/>
    <x v="34"/>
    <x v="4"/>
    <x v="4"/>
    <x v="7"/>
    <x v="5"/>
    <x v="3"/>
    <x v="0"/>
  </r>
  <r>
    <s v="U443"/>
    <x v="0"/>
    <x v="2"/>
    <x v="14"/>
    <x v="3"/>
    <x v="0"/>
    <x v="1"/>
    <x v="1"/>
    <x v="2"/>
    <x v="1"/>
  </r>
  <r>
    <s v="U444"/>
    <x v="4"/>
    <x v="0"/>
    <x v="46"/>
    <x v="4"/>
    <x v="4"/>
    <x v="3"/>
    <x v="5"/>
    <x v="3"/>
    <x v="0"/>
  </r>
  <r>
    <s v="U445"/>
    <x v="2"/>
    <x v="2"/>
    <x v="63"/>
    <x v="0"/>
    <x v="2"/>
    <x v="3"/>
    <x v="0"/>
    <x v="1"/>
    <x v="3"/>
  </r>
  <r>
    <s v="U446"/>
    <x v="30"/>
    <x v="2"/>
    <x v="10"/>
    <x v="1"/>
    <x v="2"/>
    <x v="4"/>
    <x v="3"/>
    <x v="0"/>
    <x v="2"/>
  </r>
  <r>
    <s v="U447"/>
    <x v="9"/>
    <x v="2"/>
    <x v="23"/>
    <x v="2"/>
    <x v="1"/>
    <x v="1"/>
    <x v="5"/>
    <x v="1"/>
    <x v="2"/>
  </r>
  <r>
    <s v="U448"/>
    <x v="25"/>
    <x v="0"/>
    <x v="40"/>
    <x v="3"/>
    <x v="7"/>
    <x v="3"/>
    <x v="2"/>
    <x v="4"/>
    <x v="3"/>
  </r>
  <r>
    <s v="U449"/>
    <x v="18"/>
    <x v="0"/>
    <x v="41"/>
    <x v="1"/>
    <x v="0"/>
    <x v="2"/>
    <x v="1"/>
    <x v="1"/>
    <x v="2"/>
  </r>
  <r>
    <s v="U450"/>
    <x v="14"/>
    <x v="0"/>
    <x v="20"/>
    <x v="2"/>
    <x v="0"/>
    <x v="8"/>
    <x v="1"/>
    <x v="1"/>
    <x v="2"/>
  </r>
  <r>
    <s v="U451"/>
    <x v="21"/>
    <x v="2"/>
    <x v="77"/>
    <x v="3"/>
    <x v="7"/>
    <x v="2"/>
    <x v="0"/>
    <x v="4"/>
    <x v="3"/>
  </r>
  <r>
    <s v="U452"/>
    <x v="26"/>
    <x v="2"/>
    <x v="28"/>
    <x v="5"/>
    <x v="6"/>
    <x v="0"/>
    <x v="0"/>
    <x v="3"/>
    <x v="0"/>
  </r>
  <r>
    <s v="U453"/>
    <x v="29"/>
    <x v="2"/>
    <x v="27"/>
    <x v="1"/>
    <x v="1"/>
    <x v="5"/>
    <x v="2"/>
    <x v="4"/>
    <x v="1"/>
  </r>
  <r>
    <s v="U454"/>
    <x v="4"/>
    <x v="2"/>
    <x v="51"/>
    <x v="1"/>
    <x v="5"/>
    <x v="3"/>
    <x v="1"/>
    <x v="0"/>
    <x v="0"/>
  </r>
  <r>
    <s v="U455"/>
    <x v="15"/>
    <x v="2"/>
    <x v="17"/>
    <x v="1"/>
    <x v="0"/>
    <x v="6"/>
    <x v="1"/>
    <x v="1"/>
    <x v="1"/>
  </r>
  <r>
    <s v="U456"/>
    <x v="28"/>
    <x v="0"/>
    <x v="32"/>
    <x v="1"/>
    <x v="5"/>
    <x v="1"/>
    <x v="2"/>
    <x v="4"/>
    <x v="4"/>
  </r>
  <r>
    <s v="U457"/>
    <x v="23"/>
    <x v="2"/>
    <x v="58"/>
    <x v="4"/>
    <x v="6"/>
    <x v="5"/>
    <x v="1"/>
    <x v="1"/>
    <x v="0"/>
  </r>
  <r>
    <s v="U458"/>
    <x v="4"/>
    <x v="0"/>
    <x v="72"/>
    <x v="5"/>
    <x v="4"/>
    <x v="1"/>
    <x v="5"/>
    <x v="0"/>
    <x v="0"/>
  </r>
  <r>
    <s v="U459"/>
    <x v="8"/>
    <x v="0"/>
    <x v="55"/>
    <x v="3"/>
    <x v="1"/>
    <x v="2"/>
    <x v="2"/>
    <x v="2"/>
    <x v="3"/>
  </r>
  <r>
    <s v="U460"/>
    <x v="32"/>
    <x v="2"/>
    <x v="11"/>
    <x v="1"/>
    <x v="1"/>
    <x v="6"/>
    <x v="5"/>
    <x v="0"/>
    <x v="1"/>
  </r>
  <r>
    <s v="U461"/>
    <x v="16"/>
    <x v="0"/>
    <x v="20"/>
    <x v="1"/>
    <x v="5"/>
    <x v="1"/>
    <x v="2"/>
    <x v="5"/>
    <x v="4"/>
  </r>
  <r>
    <s v="U462"/>
    <x v="24"/>
    <x v="0"/>
    <x v="66"/>
    <x v="0"/>
    <x v="1"/>
    <x v="3"/>
    <x v="4"/>
    <x v="5"/>
    <x v="2"/>
  </r>
  <r>
    <s v="U463"/>
    <x v="16"/>
    <x v="2"/>
    <x v="64"/>
    <x v="5"/>
    <x v="5"/>
    <x v="3"/>
    <x v="0"/>
    <x v="5"/>
    <x v="0"/>
  </r>
  <r>
    <s v="U464"/>
    <x v="2"/>
    <x v="0"/>
    <x v="43"/>
    <x v="3"/>
    <x v="3"/>
    <x v="1"/>
    <x v="1"/>
    <x v="1"/>
    <x v="6"/>
  </r>
  <r>
    <s v="U465"/>
    <x v="30"/>
    <x v="2"/>
    <x v="53"/>
    <x v="4"/>
    <x v="5"/>
    <x v="3"/>
    <x v="1"/>
    <x v="3"/>
    <x v="0"/>
  </r>
  <r>
    <s v="U466"/>
    <x v="8"/>
    <x v="0"/>
    <x v="46"/>
    <x v="0"/>
    <x v="2"/>
    <x v="0"/>
    <x v="1"/>
    <x v="3"/>
    <x v="0"/>
  </r>
  <r>
    <s v="U467"/>
    <x v="32"/>
    <x v="0"/>
    <x v="42"/>
    <x v="0"/>
    <x v="2"/>
    <x v="6"/>
    <x v="4"/>
    <x v="3"/>
    <x v="2"/>
  </r>
  <r>
    <s v="U468"/>
    <x v="16"/>
    <x v="0"/>
    <x v="1"/>
    <x v="1"/>
    <x v="0"/>
    <x v="6"/>
    <x v="4"/>
    <x v="1"/>
    <x v="4"/>
  </r>
  <r>
    <s v="U469"/>
    <x v="14"/>
    <x v="0"/>
    <x v="32"/>
    <x v="1"/>
    <x v="2"/>
    <x v="2"/>
    <x v="5"/>
    <x v="0"/>
    <x v="0"/>
  </r>
  <r>
    <s v="U470"/>
    <x v="12"/>
    <x v="2"/>
    <x v="22"/>
    <x v="1"/>
    <x v="0"/>
    <x v="1"/>
    <x v="1"/>
    <x v="3"/>
    <x v="2"/>
  </r>
  <r>
    <s v="U471"/>
    <x v="26"/>
    <x v="0"/>
    <x v="42"/>
    <x v="3"/>
    <x v="0"/>
    <x v="3"/>
    <x v="1"/>
    <x v="2"/>
    <x v="3"/>
  </r>
  <r>
    <s v="U472"/>
    <x v="33"/>
    <x v="2"/>
    <x v="21"/>
    <x v="3"/>
    <x v="4"/>
    <x v="6"/>
    <x v="2"/>
    <x v="5"/>
    <x v="0"/>
  </r>
  <r>
    <s v="U473"/>
    <x v="3"/>
    <x v="2"/>
    <x v="2"/>
    <x v="6"/>
    <x v="1"/>
    <x v="1"/>
    <x v="4"/>
    <x v="0"/>
    <x v="6"/>
  </r>
  <r>
    <s v="U474"/>
    <x v="17"/>
    <x v="2"/>
    <x v="3"/>
    <x v="0"/>
    <x v="5"/>
    <x v="6"/>
    <x v="0"/>
    <x v="5"/>
    <x v="0"/>
  </r>
  <r>
    <s v="U475"/>
    <x v="3"/>
    <x v="2"/>
    <x v="10"/>
    <x v="0"/>
    <x v="2"/>
    <x v="6"/>
    <x v="4"/>
    <x v="3"/>
    <x v="2"/>
  </r>
  <r>
    <s v="U476"/>
    <x v="6"/>
    <x v="2"/>
    <x v="79"/>
    <x v="6"/>
    <x v="1"/>
    <x v="0"/>
    <x v="2"/>
    <x v="0"/>
    <x v="1"/>
  </r>
  <r>
    <s v="U477"/>
    <x v="4"/>
    <x v="0"/>
    <x v="45"/>
    <x v="4"/>
    <x v="5"/>
    <x v="3"/>
    <x v="3"/>
    <x v="4"/>
    <x v="0"/>
  </r>
  <r>
    <s v="U478"/>
    <x v="24"/>
    <x v="0"/>
    <x v="34"/>
    <x v="5"/>
    <x v="0"/>
    <x v="3"/>
    <x v="4"/>
    <x v="2"/>
    <x v="0"/>
  </r>
  <r>
    <s v="U479"/>
    <x v="20"/>
    <x v="0"/>
    <x v="21"/>
    <x v="1"/>
    <x v="1"/>
    <x v="0"/>
    <x v="2"/>
    <x v="3"/>
    <x v="4"/>
  </r>
  <r>
    <s v="U480"/>
    <x v="22"/>
    <x v="2"/>
    <x v="80"/>
    <x v="2"/>
    <x v="3"/>
    <x v="6"/>
    <x v="1"/>
    <x v="3"/>
    <x v="5"/>
  </r>
  <r>
    <s v="U481"/>
    <x v="1"/>
    <x v="0"/>
    <x v="16"/>
    <x v="0"/>
    <x v="1"/>
    <x v="0"/>
    <x v="0"/>
    <x v="2"/>
    <x v="3"/>
  </r>
  <r>
    <s v="U482"/>
    <x v="29"/>
    <x v="2"/>
    <x v="81"/>
    <x v="2"/>
    <x v="1"/>
    <x v="0"/>
    <x v="5"/>
    <x v="2"/>
    <x v="5"/>
  </r>
  <r>
    <s v="U483"/>
    <x v="30"/>
    <x v="2"/>
    <x v="3"/>
    <x v="1"/>
    <x v="0"/>
    <x v="5"/>
    <x v="5"/>
    <x v="4"/>
    <x v="2"/>
  </r>
  <r>
    <s v="U484"/>
    <x v="8"/>
    <x v="0"/>
    <x v="19"/>
    <x v="0"/>
    <x v="2"/>
    <x v="6"/>
    <x v="1"/>
    <x v="3"/>
    <x v="0"/>
  </r>
  <r>
    <s v="U485"/>
    <x v="17"/>
    <x v="2"/>
    <x v="33"/>
    <x v="0"/>
    <x v="2"/>
    <x v="5"/>
    <x v="2"/>
    <x v="1"/>
    <x v="4"/>
  </r>
  <r>
    <s v="U486"/>
    <x v="5"/>
    <x v="0"/>
    <x v="5"/>
    <x v="1"/>
    <x v="1"/>
    <x v="0"/>
    <x v="2"/>
    <x v="3"/>
    <x v="3"/>
  </r>
  <r>
    <s v="U487"/>
    <x v="6"/>
    <x v="0"/>
    <x v="30"/>
    <x v="4"/>
    <x v="5"/>
    <x v="0"/>
    <x v="1"/>
    <x v="5"/>
    <x v="0"/>
  </r>
  <r>
    <s v="U488"/>
    <x v="13"/>
    <x v="2"/>
    <x v="22"/>
    <x v="0"/>
    <x v="2"/>
    <x v="1"/>
    <x v="5"/>
    <x v="0"/>
    <x v="2"/>
  </r>
  <r>
    <s v="U489"/>
    <x v="28"/>
    <x v="2"/>
    <x v="40"/>
    <x v="3"/>
    <x v="7"/>
    <x v="2"/>
    <x v="1"/>
    <x v="0"/>
    <x v="3"/>
  </r>
  <r>
    <s v="U490"/>
    <x v="33"/>
    <x v="2"/>
    <x v="63"/>
    <x v="0"/>
    <x v="2"/>
    <x v="2"/>
    <x v="6"/>
    <x v="5"/>
    <x v="0"/>
  </r>
  <r>
    <s v="U491"/>
    <x v="17"/>
    <x v="0"/>
    <x v="52"/>
    <x v="3"/>
    <x v="1"/>
    <x v="0"/>
    <x v="1"/>
    <x v="0"/>
    <x v="1"/>
  </r>
  <r>
    <s v="U492"/>
    <x v="2"/>
    <x v="0"/>
    <x v="34"/>
    <x v="7"/>
    <x v="4"/>
    <x v="0"/>
    <x v="2"/>
    <x v="2"/>
    <x v="0"/>
  </r>
  <r>
    <s v="U493"/>
    <x v="13"/>
    <x v="2"/>
    <x v="66"/>
    <x v="3"/>
    <x v="2"/>
    <x v="4"/>
    <x v="0"/>
    <x v="0"/>
    <x v="4"/>
  </r>
  <r>
    <s v="U494"/>
    <x v="7"/>
    <x v="2"/>
    <x v="13"/>
    <x v="0"/>
    <x v="8"/>
    <x v="2"/>
    <x v="3"/>
    <x v="0"/>
    <x v="0"/>
  </r>
  <r>
    <s v="U495"/>
    <x v="16"/>
    <x v="2"/>
    <x v="22"/>
    <x v="4"/>
    <x v="0"/>
    <x v="0"/>
    <x v="3"/>
    <x v="5"/>
    <x v="0"/>
  </r>
  <r>
    <s v="U496"/>
    <x v="2"/>
    <x v="0"/>
    <x v="31"/>
    <x v="3"/>
    <x v="2"/>
    <x v="3"/>
    <x v="5"/>
    <x v="4"/>
    <x v="0"/>
  </r>
  <r>
    <s v="U497"/>
    <x v="16"/>
    <x v="2"/>
    <x v="22"/>
    <x v="0"/>
    <x v="0"/>
    <x v="1"/>
    <x v="5"/>
    <x v="0"/>
    <x v="4"/>
  </r>
  <r>
    <s v="U498"/>
    <x v="23"/>
    <x v="0"/>
    <x v="23"/>
    <x v="3"/>
    <x v="2"/>
    <x v="0"/>
    <x v="5"/>
    <x v="1"/>
    <x v="2"/>
  </r>
  <r>
    <s v="U499"/>
    <x v="2"/>
    <x v="0"/>
    <x v="46"/>
    <x v="5"/>
    <x v="2"/>
    <x v="5"/>
    <x v="5"/>
    <x v="0"/>
    <x v="4"/>
  </r>
  <r>
    <s v="U500"/>
    <x v="16"/>
    <x v="2"/>
    <x v="54"/>
    <x v="3"/>
    <x v="1"/>
    <x v="6"/>
    <x v="1"/>
    <x v="4"/>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U001"/>
    <n v="44"/>
    <x v="0"/>
    <s v="Male"/>
    <n v="3.1"/>
    <n v="7"/>
    <n v="6"/>
    <n v="2"/>
    <n v="5"/>
    <s v="Facebook"/>
    <n v="10"/>
  </r>
  <r>
    <s v="U002"/>
    <n v="30"/>
    <x v="1"/>
    <s v="Other"/>
    <n v="5.0999999999999996"/>
    <n v="7"/>
    <n v="8"/>
    <n v="5"/>
    <n v="3"/>
    <s v="LinkedIn"/>
    <n v="10"/>
  </r>
  <r>
    <s v="U003"/>
    <n v="23"/>
    <x v="2"/>
    <s v="Other"/>
    <n v="7.4"/>
    <n v="6"/>
    <n v="7"/>
    <n v="1"/>
    <n v="3"/>
    <s v="YouTube"/>
    <n v="6"/>
  </r>
  <r>
    <s v="U004"/>
    <n v="36"/>
    <x v="3"/>
    <s v="Female"/>
    <n v="5.7"/>
    <n v="7"/>
    <n v="8"/>
    <n v="1"/>
    <n v="1"/>
    <s v="TikTok"/>
    <n v="8"/>
  </r>
  <r>
    <s v="U005"/>
    <n v="34"/>
    <x v="4"/>
    <s v="Female"/>
    <n v="7"/>
    <n v="4"/>
    <n v="7"/>
    <n v="5"/>
    <n v="1"/>
    <s v="X (Twitter)"/>
    <n v="8"/>
  </r>
  <r>
    <s v="U006"/>
    <n v="38"/>
    <x v="3"/>
    <s v="Male"/>
    <n v="6.6"/>
    <n v="5"/>
    <n v="7"/>
    <n v="4"/>
    <n v="3"/>
    <s v="LinkedIn"/>
    <n v="8"/>
  </r>
  <r>
    <s v="U007"/>
    <n v="26"/>
    <x v="1"/>
    <s v="Female"/>
    <n v="7.8"/>
    <n v="4"/>
    <n v="8"/>
    <n v="2"/>
    <n v="0"/>
    <s v="TikTok"/>
    <n v="7"/>
  </r>
  <r>
    <s v="U008"/>
    <n v="26"/>
    <x v="1"/>
    <s v="Female"/>
    <n v="7.4"/>
    <n v="5"/>
    <n v="6"/>
    <n v="1"/>
    <n v="4"/>
    <s v="Instagram"/>
    <n v="7"/>
  </r>
  <r>
    <s v="U009"/>
    <n v="39"/>
    <x v="3"/>
    <s v="Male"/>
    <n v="4.7"/>
    <n v="7"/>
    <n v="7"/>
    <n v="6"/>
    <n v="1"/>
    <s v="YouTube"/>
    <n v="9"/>
  </r>
  <r>
    <s v="U010"/>
    <n v="39"/>
    <x v="3"/>
    <s v="Female"/>
    <n v="6.6"/>
    <n v="6"/>
    <n v="8"/>
    <n v="0"/>
    <n v="2"/>
    <s v="Facebook"/>
    <n v="7"/>
  </r>
  <r>
    <s v="U011"/>
    <n v="18"/>
    <x v="5"/>
    <s v="Female"/>
    <n v="2.8"/>
    <n v="7"/>
    <n v="6"/>
    <n v="2"/>
    <n v="0"/>
    <s v="Instagram"/>
    <n v="7"/>
  </r>
  <r>
    <s v="U012"/>
    <n v="37"/>
    <x v="3"/>
    <s v="Other"/>
    <n v="5.4"/>
    <n v="5"/>
    <n v="7"/>
    <n v="3"/>
    <n v="2"/>
    <s v="Instagram"/>
    <n v="9"/>
  </r>
  <r>
    <s v="U013"/>
    <n v="17"/>
    <x v="5"/>
    <s v="Female"/>
    <n v="7"/>
    <n v="7"/>
    <n v="10"/>
    <n v="7"/>
    <n v="1"/>
    <s v="YouTube"/>
    <n v="8"/>
  </r>
  <r>
    <s v="U014"/>
    <n v="39"/>
    <x v="3"/>
    <s v="Female"/>
    <n v="5.7"/>
    <n v="5"/>
    <n v="7"/>
    <n v="4"/>
    <n v="0"/>
    <s v="Facebook"/>
    <n v="8"/>
  </r>
  <r>
    <s v="U015"/>
    <n v="45"/>
    <x v="0"/>
    <s v="Male"/>
    <n v="6.3"/>
    <n v="7"/>
    <n v="7"/>
    <n v="4"/>
    <n v="3"/>
    <s v="X (Twitter)"/>
    <n v="9"/>
  </r>
  <r>
    <s v="U016"/>
    <n v="17"/>
    <x v="5"/>
    <s v="Female"/>
    <n v="5.0999999999999996"/>
    <n v="7"/>
    <n v="6"/>
    <n v="2"/>
    <n v="5"/>
    <s v="LinkedIn"/>
    <n v="10"/>
  </r>
  <r>
    <s v="U017"/>
    <n v="36"/>
    <x v="3"/>
    <s v="Female"/>
    <n v="7.5"/>
    <n v="5"/>
    <n v="8"/>
    <n v="4"/>
    <n v="4"/>
    <s v="Facebook"/>
    <n v="7"/>
  </r>
  <r>
    <s v="U018"/>
    <n v="48"/>
    <x v="6"/>
    <s v="Male"/>
    <n v="5.4"/>
    <n v="6"/>
    <n v="4"/>
    <n v="3"/>
    <n v="4"/>
    <s v="TikTok"/>
    <n v="10"/>
  </r>
  <r>
    <s v="U019"/>
    <n v="27"/>
    <x v="1"/>
    <s v="Male"/>
    <n v="4.7"/>
    <n v="6"/>
    <n v="6"/>
    <n v="0"/>
    <n v="2"/>
    <s v="Instagram"/>
    <n v="9"/>
  </r>
  <r>
    <s v="U020"/>
    <n v="37"/>
    <x v="3"/>
    <s v="Male"/>
    <n v="7.1"/>
    <n v="6"/>
    <n v="6"/>
    <n v="5"/>
    <n v="4"/>
    <s v="TikTok"/>
    <n v="10"/>
  </r>
  <r>
    <s v="U021"/>
    <n v="40"/>
    <x v="3"/>
    <s v="Female"/>
    <n v="3"/>
    <n v="8"/>
    <n v="5"/>
    <n v="5"/>
    <n v="4"/>
    <s v="X (Twitter)"/>
    <n v="10"/>
  </r>
  <r>
    <s v="U022"/>
    <n v="42"/>
    <x v="0"/>
    <s v="Other"/>
    <n v="6.4"/>
    <n v="7"/>
    <n v="6"/>
    <n v="5"/>
    <n v="3"/>
    <s v="TikTok"/>
    <n v="10"/>
  </r>
  <r>
    <s v="U023"/>
    <n v="43"/>
    <x v="0"/>
    <s v="Male"/>
    <n v="3.6"/>
    <n v="8"/>
    <n v="5"/>
    <n v="3"/>
    <n v="1"/>
    <s v="Facebook"/>
    <n v="9"/>
  </r>
  <r>
    <s v="U024"/>
    <n v="31"/>
    <x v="4"/>
    <s v="Female"/>
    <n v="7.8"/>
    <n v="5"/>
    <n v="8"/>
    <n v="1"/>
    <n v="2"/>
    <s v="TikTok"/>
    <n v="7"/>
  </r>
  <r>
    <s v="U025"/>
    <n v="30"/>
    <x v="1"/>
    <s v="Male"/>
    <n v="5"/>
    <n v="6"/>
    <n v="6"/>
    <n v="0"/>
    <n v="5"/>
    <s v="X (Twitter)"/>
    <n v="8"/>
  </r>
  <r>
    <s v="U026"/>
    <n v="18"/>
    <x v="5"/>
    <s v="Other"/>
    <n v="5.7"/>
    <n v="6"/>
    <n v="7"/>
    <n v="3"/>
    <n v="2"/>
    <s v="X (Twitter)"/>
    <n v="8"/>
  </r>
  <r>
    <s v="U027"/>
    <n v="22"/>
    <x v="2"/>
    <s v="Female"/>
    <n v="6.2"/>
    <n v="5"/>
    <n v="8"/>
    <n v="5"/>
    <n v="0"/>
    <s v="X (Twitter)"/>
    <n v="6"/>
  </r>
  <r>
    <s v="U028"/>
    <n v="36"/>
    <x v="3"/>
    <s v="Female"/>
    <n v="2"/>
    <n v="8"/>
    <n v="4"/>
    <n v="5"/>
    <n v="0"/>
    <s v="Facebook"/>
    <n v="10"/>
  </r>
  <r>
    <s v="U029"/>
    <n v="24"/>
    <x v="2"/>
    <s v="Male"/>
    <n v="4.3"/>
    <n v="6"/>
    <n v="6"/>
    <n v="5"/>
    <n v="2"/>
    <s v="X (Twitter)"/>
    <n v="10"/>
  </r>
  <r>
    <s v="U030"/>
    <n v="33"/>
    <x v="4"/>
    <s v="Male"/>
    <n v="7.4"/>
    <n v="6"/>
    <n v="10"/>
    <n v="3"/>
    <n v="4"/>
    <s v="Instagram"/>
    <n v="8"/>
  </r>
  <r>
    <s v="U031"/>
    <n v="19"/>
    <x v="5"/>
    <s v="Male"/>
    <n v="7.1"/>
    <n v="5"/>
    <n v="8"/>
    <n v="5"/>
    <n v="2"/>
    <s v="X (Twitter)"/>
    <n v="9"/>
  </r>
  <r>
    <s v="U032"/>
    <n v="40"/>
    <x v="3"/>
    <s v="Male"/>
    <n v="6"/>
    <n v="6"/>
    <n v="7"/>
    <n v="5"/>
    <n v="4"/>
    <s v="TikTok"/>
    <n v="7"/>
  </r>
  <r>
    <s v="U033"/>
    <n v="29"/>
    <x v="1"/>
    <s v="Female"/>
    <n v="3.1"/>
    <n v="8"/>
    <n v="4"/>
    <n v="2"/>
    <n v="2"/>
    <s v="LinkedIn"/>
    <n v="10"/>
  </r>
  <r>
    <s v="U034"/>
    <n v="24"/>
    <x v="2"/>
    <s v="Female"/>
    <n v="6.6"/>
    <n v="6"/>
    <n v="7"/>
    <n v="4"/>
    <n v="0"/>
    <s v="TikTok"/>
    <n v="7"/>
  </r>
  <r>
    <s v="U035"/>
    <n v="41"/>
    <x v="0"/>
    <s v="Other"/>
    <n v="6.8"/>
    <n v="8"/>
    <n v="7"/>
    <n v="2"/>
    <n v="2"/>
    <s v="LinkedIn"/>
    <n v="9"/>
  </r>
  <r>
    <s v="U036"/>
    <n v="17"/>
    <x v="5"/>
    <s v="Other"/>
    <n v="5.6"/>
    <n v="6"/>
    <n v="7"/>
    <n v="4"/>
    <n v="3"/>
    <s v="TikTok"/>
    <n v="7"/>
  </r>
  <r>
    <s v="U037"/>
    <n v="35"/>
    <x v="4"/>
    <s v="Female"/>
    <n v="7.7"/>
    <n v="4"/>
    <n v="8"/>
    <n v="0"/>
    <n v="3"/>
    <s v="Facebook"/>
    <n v="8"/>
  </r>
  <r>
    <s v="U038"/>
    <n v="43"/>
    <x v="0"/>
    <s v="Female"/>
    <n v="4.3"/>
    <n v="8"/>
    <n v="4"/>
    <n v="1"/>
    <n v="1"/>
    <s v="TikTok"/>
    <n v="10"/>
  </r>
  <r>
    <s v="U039"/>
    <n v="22"/>
    <x v="2"/>
    <s v="Other"/>
    <n v="4.5999999999999996"/>
    <n v="4"/>
    <n v="6"/>
    <n v="5"/>
    <n v="2"/>
    <s v="Facebook"/>
    <n v="9"/>
  </r>
  <r>
    <s v="U040"/>
    <n v="23"/>
    <x v="2"/>
    <s v="Female"/>
    <n v="1"/>
    <n v="9"/>
    <n v="5"/>
    <n v="5"/>
    <n v="7"/>
    <s v="Facebook"/>
    <n v="10"/>
  </r>
  <r>
    <s v="U041"/>
    <n v="29"/>
    <x v="1"/>
    <s v="Male"/>
    <n v="7.2"/>
    <n v="5"/>
    <n v="7"/>
    <n v="4"/>
    <n v="1"/>
    <s v="X (Twitter)"/>
    <n v="10"/>
  </r>
  <r>
    <s v="U042"/>
    <n v="32"/>
    <x v="4"/>
    <s v="Male"/>
    <n v="6.1"/>
    <n v="5"/>
    <n v="6"/>
    <n v="3"/>
    <n v="3"/>
    <s v="Instagram"/>
    <n v="7"/>
  </r>
  <r>
    <s v="U043"/>
    <n v="19"/>
    <x v="5"/>
    <s v="Male"/>
    <n v="2.5"/>
    <n v="9"/>
    <n v="3"/>
    <n v="0"/>
    <n v="0"/>
    <s v="LinkedIn"/>
    <n v="10"/>
  </r>
  <r>
    <s v="U044"/>
    <n v="17"/>
    <x v="5"/>
    <s v="Other"/>
    <n v="2.2999999999999998"/>
    <n v="9"/>
    <n v="3"/>
    <n v="3"/>
    <n v="4"/>
    <s v="X (Twitter)"/>
    <n v="10"/>
  </r>
  <r>
    <s v="U045"/>
    <n v="21"/>
    <x v="2"/>
    <s v="Female"/>
    <n v="3.9"/>
    <n v="6"/>
    <n v="6"/>
    <n v="4"/>
    <n v="1"/>
    <s v="X (Twitter)"/>
    <n v="8"/>
  </r>
  <r>
    <s v="U046"/>
    <n v="19"/>
    <x v="5"/>
    <s v="Male"/>
    <n v="6.9"/>
    <n v="5"/>
    <n v="7"/>
    <n v="2"/>
    <n v="3"/>
    <s v="Facebook"/>
    <n v="9"/>
  </r>
  <r>
    <s v="U047"/>
    <n v="44"/>
    <x v="0"/>
    <s v="Female"/>
    <n v="5"/>
    <n v="4"/>
    <n v="7"/>
    <n v="2"/>
    <n v="1"/>
    <s v="Facebook"/>
    <n v="8"/>
  </r>
  <r>
    <s v="U048"/>
    <n v="33"/>
    <x v="4"/>
    <s v="Female"/>
    <n v="4.0999999999999996"/>
    <n v="8"/>
    <n v="7"/>
    <n v="6"/>
    <n v="3"/>
    <s v="LinkedIn"/>
    <n v="9"/>
  </r>
  <r>
    <s v="U049"/>
    <n v="41"/>
    <x v="0"/>
    <s v="Male"/>
    <n v="3.7"/>
    <n v="8"/>
    <n v="6"/>
    <n v="3"/>
    <n v="1"/>
    <s v="TikTok"/>
    <n v="9"/>
  </r>
  <r>
    <s v="U050"/>
    <n v="49"/>
    <x v="6"/>
    <s v="Male"/>
    <n v="3.6"/>
    <n v="7"/>
    <n v="5"/>
    <n v="4"/>
    <n v="1"/>
    <s v="TikTok"/>
    <n v="9"/>
  </r>
  <r>
    <s v="U051"/>
    <n v="25"/>
    <x v="2"/>
    <s v="Female"/>
    <n v="2"/>
    <n v="9"/>
    <n v="4"/>
    <n v="5"/>
    <n v="3"/>
    <s v="X (Twitter)"/>
    <n v="10"/>
  </r>
  <r>
    <s v="U052"/>
    <n v="29"/>
    <x v="1"/>
    <s v="Female"/>
    <n v="3.3"/>
    <n v="7"/>
    <n v="5"/>
    <n v="1"/>
    <n v="2"/>
    <s v="YouTube"/>
    <n v="10"/>
  </r>
  <r>
    <s v="U053"/>
    <n v="46"/>
    <x v="6"/>
    <s v="Female"/>
    <n v="3.6"/>
    <n v="7"/>
    <n v="5"/>
    <n v="3"/>
    <n v="3"/>
    <s v="YouTube"/>
    <n v="10"/>
  </r>
  <r>
    <s v="U054"/>
    <n v="30"/>
    <x v="1"/>
    <s v="Female"/>
    <n v="6.7"/>
    <n v="6"/>
    <n v="8"/>
    <n v="6"/>
    <n v="2"/>
    <s v="TikTok"/>
    <n v="7"/>
  </r>
  <r>
    <s v="U055"/>
    <n v="23"/>
    <x v="2"/>
    <s v="Female"/>
    <n v="5.2"/>
    <n v="6"/>
    <n v="6"/>
    <n v="7"/>
    <n v="3"/>
    <s v="YouTube"/>
    <n v="8"/>
  </r>
  <r>
    <s v="U056"/>
    <n v="29"/>
    <x v="1"/>
    <s v="Female"/>
    <n v="4"/>
    <n v="7"/>
    <n v="3"/>
    <n v="3"/>
    <n v="3"/>
    <s v="TikTok"/>
    <n v="10"/>
  </r>
  <r>
    <s v="U057"/>
    <n v="38"/>
    <x v="3"/>
    <s v="Female"/>
    <n v="9.6999999999999993"/>
    <n v="3"/>
    <n v="9"/>
    <n v="3"/>
    <n v="2"/>
    <s v="Facebook"/>
    <n v="4"/>
  </r>
  <r>
    <s v="U058"/>
    <n v="36"/>
    <x v="3"/>
    <s v="Female"/>
    <n v="4.3"/>
    <n v="7"/>
    <n v="6"/>
    <n v="4"/>
    <n v="1"/>
    <s v="X (Twitter)"/>
    <n v="9"/>
  </r>
  <r>
    <s v="U059"/>
    <n v="31"/>
    <x v="4"/>
    <s v="Male"/>
    <n v="7.6"/>
    <n v="5"/>
    <n v="10"/>
    <n v="3"/>
    <n v="2"/>
    <s v="Instagram"/>
    <n v="6"/>
  </r>
  <r>
    <s v="U060"/>
    <n v="33"/>
    <x v="4"/>
    <s v="Male"/>
    <n v="8.4"/>
    <n v="4"/>
    <n v="8"/>
    <n v="6"/>
    <n v="4"/>
    <s v="X (Twitter)"/>
    <n v="7"/>
  </r>
  <r>
    <s v="U061"/>
    <n v="39"/>
    <x v="3"/>
    <s v="Male"/>
    <n v="2.7"/>
    <n v="9"/>
    <n v="5"/>
    <n v="1"/>
    <n v="3"/>
    <s v="TikTok"/>
    <n v="10"/>
  </r>
  <r>
    <s v="U062"/>
    <n v="41"/>
    <x v="0"/>
    <s v="Female"/>
    <n v="5.6"/>
    <n v="6"/>
    <n v="7"/>
    <n v="2"/>
    <n v="1"/>
    <s v="TikTok"/>
    <n v="9"/>
  </r>
  <r>
    <s v="U063"/>
    <n v="40"/>
    <x v="3"/>
    <s v="Female"/>
    <n v="4.5999999999999996"/>
    <n v="7"/>
    <n v="7"/>
    <n v="1"/>
    <n v="3"/>
    <s v="X (Twitter)"/>
    <n v="10"/>
  </r>
  <r>
    <s v="U064"/>
    <n v="44"/>
    <x v="0"/>
    <s v="Female"/>
    <n v="4.4000000000000004"/>
    <n v="6"/>
    <n v="7"/>
    <n v="1"/>
    <n v="3"/>
    <s v="LinkedIn"/>
    <n v="9"/>
  </r>
  <r>
    <s v="U065"/>
    <n v="30"/>
    <x v="1"/>
    <s v="Male"/>
    <n v="6.5"/>
    <n v="4"/>
    <n v="9"/>
    <n v="4"/>
    <n v="3"/>
    <s v="TikTok"/>
    <n v="5"/>
  </r>
  <r>
    <s v="U066"/>
    <n v="16"/>
    <x v="5"/>
    <s v="Male"/>
    <n v="4.4000000000000004"/>
    <n v="8"/>
    <n v="4"/>
    <n v="5"/>
    <n v="1"/>
    <s v="YouTube"/>
    <n v="10"/>
  </r>
  <r>
    <s v="U067"/>
    <n v="40"/>
    <x v="3"/>
    <s v="Male"/>
    <n v="4.5999999999999996"/>
    <n v="7"/>
    <n v="6"/>
    <n v="2"/>
    <n v="1"/>
    <s v="YouTube"/>
    <n v="10"/>
  </r>
  <r>
    <s v="U068"/>
    <n v="22"/>
    <x v="2"/>
    <s v="Male"/>
    <n v="5.2"/>
    <n v="9"/>
    <n v="7"/>
    <n v="5"/>
    <n v="1"/>
    <s v="TikTok"/>
    <n v="10"/>
  </r>
  <r>
    <s v="U069"/>
    <n v="24"/>
    <x v="2"/>
    <s v="Female"/>
    <n v="4.8"/>
    <n v="6"/>
    <n v="7"/>
    <n v="5"/>
    <n v="2"/>
    <s v="TikTok"/>
    <n v="7"/>
  </r>
  <r>
    <s v="U070"/>
    <n v="39"/>
    <x v="3"/>
    <s v="Male"/>
    <n v="3.4"/>
    <n v="8"/>
    <n v="6"/>
    <n v="7"/>
    <n v="3"/>
    <s v="LinkedIn"/>
    <n v="10"/>
  </r>
  <r>
    <s v="U071"/>
    <n v="16"/>
    <x v="5"/>
    <s v="Male"/>
    <n v="6.9"/>
    <n v="5"/>
    <n v="8"/>
    <n v="3"/>
    <n v="3"/>
    <s v="YouTube"/>
    <n v="5"/>
  </r>
  <r>
    <s v="U072"/>
    <n v="23"/>
    <x v="2"/>
    <s v="Female"/>
    <n v="7.4"/>
    <n v="6"/>
    <n v="7"/>
    <n v="2"/>
    <n v="3"/>
    <s v="TikTok"/>
    <n v="8"/>
  </r>
  <r>
    <s v="U073"/>
    <n v="39"/>
    <x v="3"/>
    <s v="Male"/>
    <n v="6.1"/>
    <n v="5"/>
    <n v="5"/>
    <n v="1"/>
    <n v="5"/>
    <s v="TikTok"/>
    <n v="10"/>
  </r>
  <r>
    <s v="U074"/>
    <n v="26"/>
    <x v="1"/>
    <s v="Female"/>
    <n v="4.8"/>
    <n v="6"/>
    <n v="6"/>
    <n v="1"/>
    <n v="4"/>
    <s v="LinkedIn"/>
    <n v="8"/>
  </r>
  <r>
    <s v="U075"/>
    <n v="32"/>
    <x v="4"/>
    <s v="Female"/>
    <n v="4.2"/>
    <n v="8"/>
    <n v="8"/>
    <n v="5"/>
    <n v="2"/>
    <s v="LinkedIn"/>
    <n v="8"/>
  </r>
  <r>
    <s v="U076"/>
    <n v="23"/>
    <x v="2"/>
    <s v="Male"/>
    <n v="4.2"/>
    <n v="7"/>
    <n v="5"/>
    <n v="0"/>
    <n v="1"/>
    <s v="X (Twitter)"/>
    <n v="10"/>
  </r>
  <r>
    <s v="U077"/>
    <n v="48"/>
    <x v="6"/>
    <s v="Female"/>
    <n v="9.6999999999999993"/>
    <n v="4"/>
    <n v="8"/>
    <n v="5"/>
    <n v="1"/>
    <s v="LinkedIn"/>
    <n v="5"/>
  </r>
  <r>
    <s v="U078"/>
    <n v="20"/>
    <x v="5"/>
    <s v="Female"/>
    <n v="7.2"/>
    <n v="6"/>
    <n v="9"/>
    <n v="1"/>
    <n v="2"/>
    <s v="Instagram"/>
    <n v="6"/>
  </r>
  <r>
    <s v="U079"/>
    <n v="43"/>
    <x v="0"/>
    <s v="Other"/>
    <n v="4"/>
    <n v="7"/>
    <n v="7"/>
    <n v="2"/>
    <n v="4"/>
    <s v="YouTube"/>
    <n v="9"/>
  </r>
  <r>
    <s v="U080"/>
    <n v="22"/>
    <x v="2"/>
    <s v="Male"/>
    <n v="5.8"/>
    <n v="6"/>
    <n v="8"/>
    <n v="3"/>
    <n v="2"/>
    <s v="X (Twitter)"/>
    <n v="7"/>
  </r>
  <r>
    <s v="U081"/>
    <n v="24"/>
    <x v="2"/>
    <s v="Female"/>
    <n v="4.8"/>
    <n v="6"/>
    <n v="7"/>
    <n v="2"/>
    <n v="2"/>
    <s v="Instagram"/>
    <n v="8"/>
  </r>
  <r>
    <s v="U082"/>
    <n v="23"/>
    <x v="2"/>
    <s v="Female"/>
    <n v="6.6"/>
    <n v="6"/>
    <n v="8"/>
    <n v="5"/>
    <n v="1"/>
    <s v="TikTok"/>
    <n v="8"/>
  </r>
  <r>
    <s v="U083"/>
    <n v="27"/>
    <x v="1"/>
    <s v="Male"/>
    <n v="6.5"/>
    <n v="7"/>
    <n v="9"/>
    <n v="7"/>
    <n v="2"/>
    <s v="TikTok"/>
    <n v="8"/>
  </r>
  <r>
    <s v="U084"/>
    <n v="49"/>
    <x v="6"/>
    <s v="Male"/>
    <n v="7.5"/>
    <n v="4"/>
    <n v="7"/>
    <n v="2"/>
    <n v="4"/>
    <s v="X (Twitter)"/>
    <n v="8"/>
  </r>
  <r>
    <s v="U085"/>
    <n v="48"/>
    <x v="6"/>
    <s v="Other"/>
    <n v="4"/>
    <n v="7"/>
    <n v="5"/>
    <n v="2"/>
    <n v="5"/>
    <s v="LinkedIn"/>
    <n v="10"/>
  </r>
  <r>
    <s v="U086"/>
    <n v="38"/>
    <x v="3"/>
    <s v="Female"/>
    <n v="5.7"/>
    <n v="5"/>
    <n v="6"/>
    <n v="3"/>
    <n v="2"/>
    <s v="TikTok"/>
    <n v="9"/>
  </r>
  <r>
    <s v="U087"/>
    <n v="39"/>
    <x v="3"/>
    <s v="Male"/>
    <n v="2.4"/>
    <n v="7"/>
    <n v="4"/>
    <n v="4"/>
    <n v="2"/>
    <s v="Facebook"/>
    <n v="10"/>
  </r>
  <r>
    <s v="U088"/>
    <n v="37"/>
    <x v="3"/>
    <s v="Female"/>
    <n v="3.2"/>
    <n v="8"/>
    <n v="7"/>
    <n v="3"/>
    <n v="1"/>
    <s v="X (Twitter)"/>
    <n v="10"/>
  </r>
  <r>
    <s v="U089"/>
    <n v="42"/>
    <x v="0"/>
    <s v="Male"/>
    <n v="7.1"/>
    <n v="3"/>
    <n v="8"/>
    <n v="6"/>
    <n v="5"/>
    <s v="Instagram"/>
    <n v="6"/>
  </r>
  <r>
    <s v="U090"/>
    <n v="16"/>
    <x v="5"/>
    <s v="Male"/>
    <n v="3.8"/>
    <n v="10"/>
    <n v="6"/>
    <n v="5"/>
    <n v="0"/>
    <s v="X (Twitter)"/>
    <n v="10"/>
  </r>
  <r>
    <s v="U091"/>
    <n v="29"/>
    <x v="1"/>
    <s v="Male"/>
    <n v="4"/>
    <n v="6"/>
    <n v="4"/>
    <n v="1"/>
    <n v="4"/>
    <s v="YouTube"/>
    <n v="9"/>
  </r>
  <r>
    <s v="U092"/>
    <n v="18"/>
    <x v="5"/>
    <s v="Male"/>
    <n v="5.5"/>
    <n v="6"/>
    <n v="6"/>
    <n v="4"/>
    <n v="2"/>
    <s v="LinkedIn"/>
    <n v="9"/>
  </r>
  <r>
    <s v="U093"/>
    <n v="16"/>
    <x v="5"/>
    <s v="Male"/>
    <n v="6.8"/>
    <n v="7"/>
    <n v="6"/>
    <n v="6"/>
    <n v="2"/>
    <s v="LinkedIn"/>
    <n v="9"/>
  </r>
  <r>
    <s v="U094"/>
    <n v="20"/>
    <x v="5"/>
    <s v="Male"/>
    <n v="3.6"/>
    <n v="7"/>
    <n v="7"/>
    <n v="2"/>
    <n v="1"/>
    <s v="X (Twitter)"/>
    <n v="8"/>
  </r>
  <r>
    <s v="U095"/>
    <n v="41"/>
    <x v="0"/>
    <s v="Female"/>
    <n v="1"/>
    <n v="7"/>
    <n v="5"/>
    <n v="2"/>
    <n v="6"/>
    <s v="TikTok"/>
    <n v="10"/>
  </r>
  <r>
    <s v="U096"/>
    <n v="29"/>
    <x v="1"/>
    <s v="Male"/>
    <n v="3.9"/>
    <n v="7"/>
    <n v="6"/>
    <n v="2"/>
    <n v="3"/>
    <s v="TikTok"/>
    <n v="10"/>
  </r>
  <r>
    <s v="U097"/>
    <n v="42"/>
    <x v="0"/>
    <s v="Male"/>
    <n v="7.7"/>
    <n v="4"/>
    <n v="7"/>
    <n v="2"/>
    <n v="3"/>
    <s v="Facebook"/>
    <n v="8"/>
  </r>
  <r>
    <s v="U098"/>
    <n v="24"/>
    <x v="2"/>
    <s v="Female"/>
    <n v="6.1"/>
    <n v="4"/>
    <n v="9"/>
    <n v="0"/>
    <n v="4"/>
    <s v="Facebook"/>
    <n v="6"/>
  </r>
  <r>
    <s v="U099"/>
    <n v="30"/>
    <x v="1"/>
    <s v="Female"/>
    <n v="7.9"/>
    <n v="5"/>
    <n v="8"/>
    <n v="0"/>
    <n v="2"/>
    <s v="LinkedIn"/>
    <n v="8"/>
  </r>
  <r>
    <s v="U100"/>
    <n v="30"/>
    <x v="1"/>
    <s v="Female"/>
    <n v="3.5"/>
    <n v="8"/>
    <n v="4"/>
    <n v="3"/>
    <n v="3"/>
    <s v="Facebook"/>
    <n v="10"/>
  </r>
  <r>
    <s v="U101"/>
    <n v="41"/>
    <x v="0"/>
    <s v="Male"/>
    <n v="2.5"/>
    <n v="9"/>
    <n v="4"/>
    <n v="6"/>
    <n v="3"/>
    <s v="Instagram"/>
    <n v="10"/>
  </r>
  <r>
    <s v="U102"/>
    <n v="28"/>
    <x v="1"/>
    <s v="Male"/>
    <n v="6.3"/>
    <n v="5"/>
    <n v="7"/>
    <n v="2"/>
    <n v="2"/>
    <s v="Facebook"/>
    <n v="7"/>
  </r>
  <r>
    <s v="U103"/>
    <n v="47"/>
    <x v="6"/>
    <s v="Male"/>
    <n v="5.9"/>
    <n v="4"/>
    <n v="7"/>
    <n v="2"/>
    <n v="4"/>
    <s v="Instagram"/>
    <n v="7"/>
  </r>
  <r>
    <s v="U104"/>
    <n v="47"/>
    <x v="6"/>
    <s v="Male"/>
    <n v="6"/>
    <n v="6"/>
    <n v="7"/>
    <n v="6"/>
    <n v="2"/>
    <s v="Facebook"/>
    <n v="9"/>
  </r>
  <r>
    <s v="U105"/>
    <n v="19"/>
    <x v="5"/>
    <s v="Male"/>
    <n v="7.2"/>
    <n v="5"/>
    <n v="6"/>
    <n v="1"/>
    <n v="0"/>
    <s v="LinkedIn"/>
    <n v="9"/>
  </r>
  <r>
    <s v="U106"/>
    <n v="45"/>
    <x v="0"/>
    <s v="Male"/>
    <n v="6.3"/>
    <n v="7"/>
    <n v="8"/>
    <n v="0"/>
    <n v="2"/>
    <s v="LinkedIn"/>
    <n v="6"/>
  </r>
  <r>
    <s v="U107"/>
    <n v="38"/>
    <x v="3"/>
    <s v="Male"/>
    <n v="6.2"/>
    <n v="7"/>
    <n v="7"/>
    <n v="1"/>
    <n v="3"/>
    <s v="Instagram"/>
    <n v="9"/>
  </r>
  <r>
    <s v="U108"/>
    <n v="30"/>
    <x v="1"/>
    <s v="Male"/>
    <n v="6.8"/>
    <n v="7"/>
    <n v="7"/>
    <n v="2"/>
    <n v="1"/>
    <s v="X (Twitter)"/>
    <n v="10"/>
  </r>
  <r>
    <s v="U109"/>
    <n v="44"/>
    <x v="0"/>
    <s v="Male"/>
    <n v="6.4"/>
    <n v="6"/>
    <n v="8"/>
    <n v="0"/>
    <n v="1"/>
    <s v="LinkedIn"/>
    <n v="7"/>
  </r>
  <r>
    <s v="U110"/>
    <n v="28"/>
    <x v="1"/>
    <s v="Male"/>
    <n v="7"/>
    <n v="6"/>
    <n v="6"/>
    <n v="3"/>
    <n v="2"/>
    <s v="X (Twitter)"/>
    <n v="8"/>
  </r>
  <r>
    <s v="U111"/>
    <n v="47"/>
    <x v="6"/>
    <s v="Male"/>
    <n v="7.3"/>
    <n v="4"/>
    <n v="6"/>
    <n v="5"/>
    <n v="4"/>
    <s v="TikTok"/>
    <n v="8"/>
  </r>
  <r>
    <s v="U112"/>
    <n v="22"/>
    <x v="2"/>
    <s v="Female"/>
    <n v="8.3000000000000007"/>
    <n v="5"/>
    <n v="10"/>
    <n v="0"/>
    <n v="2"/>
    <s v="Instagram"/>
    <n v="6"/>
  </r>
  <r>
    <s v="U113"/>
    <n v="37"/>
    <x v="3"/>
    <s v="Female"/>
    <n v="4.3"/>
    <n v="6"/>
    <n v="8"/>
    <n v="3"/>
    <n v="5"/>
    <s v="LinkedIn"/>
    <n v="9"/>
  </r>
  <r>
    <s v="U114"/>
    <n v="43"/>
    <x v="0"/>
    <s v="Male"/>
    <n v="6.4"/>
    <n v="6"/>
    <n v="7"/>
    <n v="4"/>
    <n v="2"/>
    <s v="YouTube"/>
    <n v="7"/>
  </r>
  <r>
    <s v="U115"/>
    <n v="17"/>
    <x v="5"/>
    <s v="Female"/>
    <n v="4.8"/>
    <n v="7"/>
    <n v="6"/>
    <n v="3"/>
    <n v="3"/>
    <s v="TikTok"/>
    <n v="10"/>
  </r>
  <r>
    <s v="U116"/>
    <n v="21"/>
    <x v="2"/>
    <s v="Female"/>
    <n v="4"/>
    <n v="9"/>
    <n v="5"/>
    <n v="3"/>
    <n v="2"/>
    <s v="X (Twitter)"/>
    <n v="10"/>
  </r>
  <r>
    <s v="U117"/>
    <n v="43"/>
    <x v="0"/>
    <s v="Male"/>
    <n v="4.3"/>
    <n v="7"/>
    <n v="6"/>
    <n v="3"/>
    <n v="4"/>
    <s v="LinkedIn"/>
    <n v="9"/>
  </r>
  <r>
    <s v="U118"/>
    <n v="43"/>
    <x v="0"/>
    <s v="Female"/>
    <n v="6.4"/>
    <n v="6"/>
    <n v="7"/>
    <n v="1"/>
    <n v="1"/>
    <s v="Instagram"/>
    <n v="9"/>
  </r>
  <r>
    <s v="U119"/>
    <n v="35"/>
    <x v="4"/>
    <s v="Female"/>
    <n v="6.3"/>
    <n v="6"/>
    <n v="7"/>
    <n v="6"/>
    <n v="4"/>
    <s v="Facebook"/>
    <n v="9"/>
  </r>
  <r>
    <s v="U120"/>
    <n v="45"/>
    <x v="0"/>
    <s v="Male"/>
    <n v="6.2"/>
    <n v="5"/>
    <n v="8"/>
    <n v="5"/>
    <n v="3"/>
    <s v="YouTube"/>
    <n v="8"/>
  </r>
  <r>
    <s v="U121"/>
    <n v="26"/>
    <x v="1"/>
    <s v="Male"/>
    <n v="5.0999999999999996"/>
    <n v="6"/>
    <n v="5"/>
    <n v="5"/>
    <n v="2"/>
    <s v="X (Twitter)"/>
    <n v="9"/>
  </r>
  <r>
    <s v="U122"/>
    <n v="43"/>
    <x v="0"/>
    <s v="Female"/>
    <n v="5.5"/>
    <n v="8"/>
    <n v="6"/>
    <n v="5"/>
    <n v="2"/>
    <s v="TikTok"/>
    <n v="10"/>
  </r>
  <r>
    <s v="U123"/>
    <n v="40"/>
    <x v="3"/>
    <s v="Female"/>
    <n v="7"/>
    <n v="4"/>
    <n v="6"/>
    <n v="0"/>
    <n v="5"/>
    <s v="Instagram"/>
    <n v="8"/>
  </r>
  <r>
    <s v="U124"/>
    <n v="48"/>
    <x v="6"/>
    <s v="Male"/>
    <n v="2.8"/>
    <n v="7"/>
    <n v="5"/>
    <n v="5"/>
    <n v="3"/>
    <s v="YouTube"/>
    <n v="10"/>
  </r>
  <r>
    <s v="U125"/>
    <n v="16"/>
    <x v="5"/>
    <s v="Male"/>
    <n v="5.5"/>
    <n v="7"/>
    <n v="7"/>
    <n v="4"/>
    <n v="1"/>
    <s v="Instagram"/>
    <n v="9"/>
  </r>
  <r>
    <s v="U126"/>
    <n v="42"/>
    <x v="0"/>
    <s v="Male"/>
    <n v="5.7"/>
    <n v="7"/>
    <n v="7"/>
    <n v="0"/>
    <n v="1"/>
    <s v="LinkedIn"/>
    <n v="9"/>
  </r>
  <r>
    <s v="U127"/>
    <n v="28"/>
    <x v="1"/>
    <s v="Female"/>
    <n v="6.9"/>
    <n v="5"/>
    <n v="8"/>
    <n v="3"/>
    <n v="3"/>
    <s v="Facebook"/>
    <n v="8"/>
  </r>
  <r>
    <s v="U128"/>
    <n v="18"/>
    <x v="5"/>
    <s v="Female"/>
    <n v="3.1"/>
    <n v="7"/>
    <n v="6"/>
    <n v="4"/>
    <n v="3"/>
    <s v="TikTok"/>
    <n v="9"/>
  </r>
  <r>
    <s v="U129"/>
    <n v="21"/>
    <x v="2"/>
    <s v="Male"/>
    <n v="8.1999999999999993"/>
    <n v="5"/>
    <n v="7"/>
    <n v="6"/>
    <n v="4"/>
    <s v="Instagram"/>
    <n v="7"/>
  </r>
  <r>
    <s v="U130"/>
    <n v="23"/>
    <x v="2"/>
    <s v="Male"/>
    <n v="5.9"/>
    <n v="5"/>
    <n v="5"/>
    <n v="4"/>
    <n v="0"/>
    <s v="X (Twitter)"/>
    <n v="9"/>
  </r>
  <r>
    <s v="U131"/>
    <n v="42"/>
    <x v="0"/>
    <s v="Female"/>
    <n v="6"/>
    <n v="5"/>
    <n v="8"/>
    <n v="1"/>
    <n v="1"/>
    <s v="LinkedIn"/>
    <n v="7"/>
  </r>
  <r>
    <s v="U132"/>
    <n v="24"/>
    <x v="2"/>
    <s v="Male"/>
    <n v="4.8"/>
    <n v="8"/>
    <n v="4"/>
    <n v="6"/>
    <n v="4"/>
    <s v="LinkedIn"/>
    <n v="10"/>
  </r>
  <r>
    <s v="U133"/>
    <n v="48"/>
    <x v="6"/>
    <s v="Male"/>
    <n v="6.5"/>
    <n v="6"/>
    <n v="8"/>
    <n v="3"/>
    <n v="3"/>
    <s v="TikTok"/>
    <n v="8"/>
  </r>
  <r>
    <s v="U134"/>
    <n v="39"/>
    <x v="3"/>
    <s v="Female"/>
    <n v="5.6"/>
    <n v="8"/>
    <n v="6"/>
    <n v="2"/>
    <n v="3"/>
    <s v="LinkedIn"/>
    <n v="9"/>
  </r>
  <r>
    <s v="U135"/>
    <n v="30"/>
    <x v="1"/>
    <s v="Female"/>
    <n v="7.7"/>
    <n v="4"/>
    <n v="10"/>
    <n v="2"/>
    <n v="1"/>
    <s v="X (Twitter)"/>
    <n v="8"/>
  </r>
  <r>
    <s v="U136"/>
    <n v="47"/>
    <x v="6"/>
    <s v="Female"/>
    <n v="2.9"/>
    <n v="8"/>
    <n v="5"/>
    <n v="0"/>
    <n v="1"/>
    <s v="Instagram"/>
    <n v="10"/>
  </r>
  <r>
    <s v="U137"/>
    <n v="47"/>
    <x v="6"/>
    <s v="Female"/>
    <n v="5.8"/>
    <n v="6"/>
    <n v="7"/>
    <n v="3"/>
    <n v="4"/>
    <s v="TikTok"/>
    <n v="10"/>
  </r>
  <r>
    <s v="U138"/>
    <n v="39"/>
    <x v="3"/>
    <s v="Male"/>
    <n v="6.2"/>
    <n v="5"/>
    <n v="8"/>
    <n v="4"/>
    <n v="4"/>
    <s v="LinkedIn"/>
    <n v="7"/>
  </r>
  <r>
    <s v="U139"/>
    <n v="27"/>
    <x v="1"/>
    <s v="Male"/>
    <n v="5.2"/>
    <n v="7"/>
    <n v="5"/>
    <n v="2"/>
    <n v="1"/>
    <s v="LinkedIn"/>
    <n v="10"/>
  </r>
  <r>
    <s v="U140"/>
    <n v="17"/>
    <x v="5"/>
    <s v="Female"/>
    <n v="4.8"/>
    <n v="8"/>
    <n v="5"/>
    <n v="4"/>
    <n v="1"/>
    <s v="X (Twitter)"/>
    <n v="10"/>
  </r>
  <r>
    <s v="U141"/>
    <n v="18"/>
    <x v="5"/>
    <s v="Male"/>
    <n v="4.8"/>
    <n v="6"/>
    <n v="5"/>
    <n v="1"/>
    <n v="2"/>
    <s v="Facebook"/>
    <n v="10"/>
  </r>
  <r>
    <s v="U142"/>
    <n v="32"/>
    <x v="4"/>
    <s v="Male"/>
    <n v="5.8"/>
    <n v="6"/>
    <n v="6"/>
    <n v="3"/>
    <n v="1"/>
    <s v="Facebook"/>
    <n v="10"/>
  </r>
  <r>
    <s v="U143"/>
    <n v="17"/>
    <x v="5"/>
    <s v="Male"/>
    <n v="2.2000000000000002"/>
    <n v="10"/>
    <n v="5"/>
    <n v="4"/>
    <n v="1"/>
    <s v="LinkedIn"/>
    <n v="10"/>
  </r>
  <r>
    <s v="U144"/>
    <n v="17"/>
    <x v="5"/>
    <s v="Male"/>
    <n v="7.2"/>
    <n v="7"/>
    <n v="8"/>
    <n v="3"/>
    <n v="1"/>
    <s v="Instagram"/>
    <n v="8"/>
  </r>
  <r>
    <s v="U145"/>
    <n v="43"/>
    <x v="0"/>
    <s v="Male"/>
    <n v="4.5999999999999996"/>
    <n v="8"/>
    <n v="7"/>
    <n v="0"/>
    <n v="2"/>
    <s v="TikTok"/>
    <n v="9"/>
  </r>
  <r>
    <s v="U146"/>
    <n v="38"/>
    <x v="3"/>
    <s v="Male"/>
    <n v="5.7"/>
    <n v="7"/>
    <n v="5"/>
    <n v="2"/>
    <n v="1"/>
    <s v="LinkedIn"/>
    <n v="10"/>
  </r>
  <r>
    <s v="U147"/>
    <n v="47"/>
    <x v="6"/>
    <s v="Male"/>
    <n v="6.2"/>
    <n v="5"/>
    <n v="7"/>
    <n v="6"/>
    <n v="1"/>
    <s v="YouTube"/>
    <n v="9"/>
  </r>
  <r>
    <s v="U148"/>
    <n v="48"/>
    <x v="6"/>
    <s v="Male"/>
    <n v="4.5999999999999996"/>
    <n v="7"/>
    <n v="5"/>
    <n v="2"/>
    <n v="3"/>
    <s v="TikTok"/>
    <n v="10"/>
  </r>
  <r>
    <s v="U149"/>
    <n v="16"/>
    <x v="5"/>
    <s v="Female"/>
    <n v="5.3"/>
    <n v="7"/>
    <n v="6"/>
    <n v="3"/>
    <n v="2"/>
    <s v="Facebook"/>
    <n v="10"/>
  </r>
  <r>
    <s v="U150"/>
    <n v="34"/>
    <x v="4"/>
    <s v="Female"/>
    <n v="1.8"/>
    <n v="9"/>
    <n v="7"/>
    <n v="3"/>
    <n v="3"/>
    <s v="LinkedIn"/>
    <n v="10"/>
  </r>
  <r>
    <s v="U151"/>
    <n v="17"/>
    <x v="5"/>
    <s v="Female"/>
    <n v="6.8"/>
    <n v="5"/>
    <n v="8"/>
    <n v="6"/>
    <n v="0"/>
    <s v="X (Twitter)"/>
    <n v="6"/>
  </r>
  <r>
    <s v="U152"/>
    <n v="41"/>
    <x v="0"/>
    <s v="Female"/>
    <n v="7.4"/>
    <n v="4"/>
    <n v="9"/>
    <n v="6"/>
    <n v="3"/>
    <s v="YouTube"/>
    <n v="5"/>
  </r>
  <r>
    <s v="U153"/>
    <n v="47"/>
    <x v="6"/>
    <s v="Female"/>
    <n v="2.4"/>
    <n v="7"/>
    <n v="7"/>
    <n v="5"/>
    <n v="6"/>
    <s v="LinkedIn"/>
    <n v="9"/>
  </r>
  <r>
    <s v="U154"/>
    <n v="21"/>
    <x v="2"/>
    <s v="Male"/>
    <n v="4.8"/>
    <n v="5"/>
    <n v="7"/>
    <n v="1"/>
    <n v="2"/>
    <s v="Instagram"/>
    <n v="8"/>
  </r>
  <r>
    <s v="U155"/>
    <n v="47"/>
    <x v="6"/>
    <s v="Female"/>
    <n v="3.3"/>
    <n v="8"/>
    <n v="5"/>
    <n v="4"/>
    <n v="4"/>
    <s v="YouTube"/>
    <n v="10"/>
  </r>
  <r>
    <s v="U156"/>
    <n v="19"/>
    <x v="5"/>
    <s v="Female"/>
    <n v="5.2"/>
    <n v="7"/>
    <n v="5"/>
    <n v="4"/>
    <n v="4"/>
    <s v="LinkedIn"/>
    <n v="10"/>
  </r>
  <r>
    <s v="U157"/>
    <n v="26"/>
    <x v="1"/>
    <s v="Female"/>
    <n v="6.7"/>
    <n v="5"/>
    <n v="7"/>
    <n v="2"/>
    <n v="4"/>
    <s v="Instagram"/>
    <n v="8"/>
  </r>
  <r>
    <s v="U158"/>
    <n v="32"/>
    <x v="4"/>
    <s v="Male"/>
    <n v="7.3"/>
    <n v="5"/>
    <n v="7"/>
    <n v="1"/>
    <n v="3"/>
    <s v="YouTube"/>
    <n v="8"/>
  </r>
  <r>
    <s v="U159"/>
    <n v="39"/>
    <x v="3"/>
    <s v="Male"/>
    <n v="7.5"/>
    <n v="5"/>
    <n v="6"/>
    <n v="6"/>
    <n v="3"/>
    <s v="Instagram"/>
    <n v="7"/>
  </r>
  <r>
    <s v="U160"/>
    <n v="20"/>
    <x v="5"/>
    <s v="Male"/>
    <n v="7.9"/>
    <n v="5"/>
    <n v="9"/>
    <n v="2"/>
    <n v="4"/>
    <s v="Instagram"/>
    <n v="5"/>
  </r>
  <r>
    <s v="U161"/>
    <n v="49"/>
    <x v="6"/>
    <s v="Male"/>
    <n v="5.0999999999999996"/>
    <n v="5"/>
    <n v="7"/>
    <n v="6"/>
    <n v="3"/>
    <s v="YouTube"/>
    <n v="8"/>
  </r>
  <r>
    <s v="U162"/>
    <n v="21"/>
    <x v="2"/>
    <s v="Female"/>
    <n v="3.4"/>
    <n v="9"/>
    <n v="7"/>
    <n v="5"/>
    <n v="1"/>
    <s v="YouTube"/>
    <n v="8"/>
  </r>
  <r>
    <s v="U163"/>
    <n v="37"/>
    <x v="3"/>
    <s v="Female"/>
    <n v="5.3"/>
    <n v="7"/>
    <n v="6"/>
    <n v="4"/>
    <n v="0"/>
    <s v="Instagram"/>
    <n v="10"/>
  </r>
  <r>
    <s v="U164"/>
    <n v="26"/>
    <x v="1"/>
    <s v="Male"/>
    <n v="6.6"/>
    <n v="6"/>
    <n v="8"/>
    <n v="4"/>
    <n v="0"/>
    <s v="Facebook"/>
    <n v="8"/>
  </r>
  <r>
    <s v="U165"/>
    <n v="31"/>
    <x v="4"/>
    <s v="Other"/>
    <n v="3.3"/>
    <n v="9"/>
    <n v="5"/>
    <n v="0"/>
    <n v="2"/>
    <s v="YouTube"/>
    <n v="10"/>
  </r>
  <r>
    <s v="U166"/>
    <n v="48"/>
    <x v="6"/>
    <s v="Female"/>
    <n v="8.5"/>
    <n v="4"/>
    <n v="10"/>
    <n v="3"/>
    <n v="3"/>
    <s v="LinkedIn"/>
    <n v="8"/>
  </r>
  <r>
    <s v="U167"/>
    <n v="24"/>
    <x v="2"/>
    <s v="Male"/>
    <n v="7.1"/>
    <n v="6"/>
    <n v="8"/>
    <n v="6"/>
    <n v="1"/>
    <s v="TikTok"/>
    <n v="7"/>
  </r>
  <r>
    <s v="U168"/>
    <n v="21"/>
    <x v="2"/>
    <s v="Male"/>
    <n v="5.0999999999999996"/>
    <n v="6"/>
    <n v="5"/>
    <n v="4"/>
    <n v="4"/>
    <s v="X (Twitter)"/>
    <n v="10"/>
  </r>
  <r>
    <s v="U169"/>
    <n v="31"/>
    <x v="4"/>
    <s v="Male"/>
    <n v="4.2"/>
    <n v="8"/>
    <n v="6"/>
    <n v="3"/>
    <n v="2"/>
    <s v="Instagram"/>
    <n v="10"/>
  </r>
  <r>
    <s v="U170"/>
    <n v="44"/>
    <x v="0"/>
    <s v="Male"/>
    <n v="4.3"/>
    <n v="8"/>
    <n v="6"/>
    <n v="6"/>
    <n v="2"/>
    <s v="Instagram"/>
    <n v="10"/>
  </r>
  <r>
    <s v="U171"/>
    <n v="18"/>
    <x v="5"/>
    <s v="Male"/>
    <n v="5.6"/>
    <n v="5"/>
    <n v="7"/>
    <n v="3"/>
    <n v="1"/>
    <s v="X (Twitter)"/>
    <n v="6"/>
  </r>
  <r>
    <s v="U172"/>
    <n v="35"/>
    <x v="4"/>
    <s v="Male"/>
    <n v="5.0999999999999996"/>
    <n v="7"/>
    <n v="7"/>
    <n v="2"/>
    <n v="0"/>
    <s v="Facebook"/>
    <n v="7"/>
  </r>
  <r>
    <s v="U173"/>
    <n v="34"/>
    <x v="4"/>
    <s v="Male"/>
    <n v="7.2"/>
    <n v="6"/>
    <n v="6"/>
    <n v="3"/>
    <n v="3"/>
    <s v="X (Twitter)"/>
    <n v="8"/>
  </r>
  <r>
    <s v="U174"/>
    <n v="41"/>
    <x v="0"/>
    <s v="Male"/>
    <n v="4.9000000000000004"/>
    <n v="7"/>
    <n v="5"/>
    <n v="5"/>
    <n v="5"/>
    <s v="YouTube"/>
    <n v="10"/>
  </r>
  <r>
    <s v="U175"/>
    <n v="18"/>
    <x v="5"/>
    <s v="Female"/>
    <n v="6.4"/>
    <n v="6"/>
    <n v="8"/>
    <n v="0"/>
    <n v="2"/>
    <s v="X (Twitter)"/>
    <n v="8"/>
  </r>
  <r>
    <s v="U176"/>
    <n v="34"/>
    <x v="4"/>
    <s v="Male"/>
    <n v="5.4"/>
    <n v="6"/>
    <n v="6"/>
    <n v="4"/>
    <n v="0"/>
    <s v="Instagram"/>
    <n v="10"/>
  </r>
  <r>
    <s v="U177"/>
    <n v="35"/>
    <x v="4"/>
    <s v="Female"/>
    <n v="6"/>
    <n v="7"/>
    <n v="7"/>
    <n v="5"/>
    <n v="4"/>
    <s v="X (Twitter)"/>
    <n v="8"/>
  </r>
  <r>
    <s v="U178"/>
    <n v="47"/>
    <x v="6"/>
    <s v="Male"/>
    <n v="5.0999999999999996"/>
    <n v="7"/>
    <n v="4"/>
    <n v="2"/>
    <n v="0"/>
    <s v="TikTok"/>
    <n v="9"/>
  </r>
  <r>
    <s v="U179"/>
    <n v="22"/>
    <x v="2"/>
    <s v="Other"/>
    <n v="6.8"/>
    <n v="5"/>
    <n v="10"/>
    <n v="5"/>
    <n v="1"/>
    <s v="LinkedIn"/>
    <n v="7"/>
  </r>
  <r>
    <s v="U180"/>
    <n v="48"/>
    <x v="6"/>
    <s v="Male"/>
    <n v="6.8"/>
    <n v="4"/>
    <n v="7"/>
    <n v="4"/>
    <n v="2"/>
    <s v="YouTube"/>
    <n v="7"/>
  </r>
  <r>
    <s v="U181"/>
    <n v="33"/>
    <x v="4"/>
    <s v="Male"/>
    <n v="6.3"/>
    <n v="6"/>
    <n v="8"/>
    <n v="7"/>
    <n v="3"/>
    <s v="X (Twitter)"/>
    <n v="6"/>
  </r>
  <r>
    <s v="U182"/>
    <n v="16"/>
    <x v="5"/>
    <s v="Other"/>
    <n v="6.6"/>
    <n v="6"/>
    <n v="7"/>
    <n v="1"/>
    <n v="1"/>
    <s v="Instagram"/>
    <n v="8"/>
  </r>
  <r>
    <s v="U183"/>
    <n v="26"/>
    <x v="1"/>
    <s v="Female"/>
    <n v="3.8"/>
    <n v="10"/>
    <n v="6"/>
    <n v="5"/>
    <n v="2"/>
    <s v="LinkedIn"/>
    <n v="10"/>
  </r>
  <r>
    <s v="U184"/>
    <n v="43"/>
    <x v="0"/>
    <s v="Female"/>
    <n v="6.1"/>
    <n v="7"/>
    <n v="9"/>
    <n v="1"/>
    <n v="4"/>
    <s v="YouTube"/>
    <n v="7"/>
  </r>
  <r>
    <s v="U185"/>
    <n v="40"/>
    <x v="3"/>
    <s v="Male"/>
    <n v="7.7"/>
    <n v="3"/>
    <n v="9"/>
    <n v="0"/>
    <n v="4"/>
    <s v="Instagram"/>
    <n v="5"/>
  </r>
  <r>
    <s v="U186"/>
    <n v="38"/>
    <x v="3"/>
    <s v="Male"/>
    <n v="6.4"/>
    <n v="6"/>
    <n v="7"/>
    <n v="0"/>
    <n v="4"/>
    <s v="Facebook"/>
    <n v="8"/>
  </r>
  <r>
    <s v="U187"/>
    <n v="46"/>
    <x v="6"/>
    <s v="Female"/>
    <n v="3.6"/>
    <n v="9"/>
    <n v="5"/>
    <n v="4"/>
    <n v="5"/>
    <s v="TikTok"/>
    <n v="10"/>
  </r>
  <r>
    <s v="U188"/>
    <n v="45"/>
    <x v="0"/>
    <s v="Female"/>
    <n v="5.4"/>
    <n v="7"/>
    <n v="8"/>
    <n v="3"/>
    <n v="4"/>
    <s v="Facebook"/>
    <n v="7"/>
  </r>
  <r>
    <s v="U189"/>
    <n v="22"/>
    <x v="2"/>
    <s v="Female"/>
    <n v="6.2"/>
    <n v="6"/>
    <n v="9"/>
    <n v="2"/>
    <n v="2"/>
    <s v="TikTok"/>
    <n v="6"/>
  </r>
  <r>
    <s v="U190"/>
    <n v="31"/>
    <x v="4"/>
    <s v="Female"/>
    <n v="4.0999999999999996"/>
    <n v="8"/>
    <n v="6"/>
    <n v="0"/>
    <n v="4"/>
    <s v="X (Twitter)"/>
    <n v="10"/>
  </r>
  <r>
    <s v="U191"/>
    <n v="41"/>
    <x v="0"/>
    <s v="Male"/>
    <n v="3.1"/>
    <n v="7"/>
    <n v="7"/>
    <n v="2"/>
    <n v="3"/>
    <s v="YouTube"/>
    <n v="9"/>
  </r>
  <r>
    <s v="U192"/>
    <n v="17"/>
    <x v="5"/>
    <s v="Female"/>
    <n v="4.9000000000000004"/>
    <n v="7"/>
    <n v="6"/>
    <n v="3"/>
    <n v="3"/>
    <s v="X (Twitter)"/>
    <n v="10"/>
  </r>
  <r>
    <s v="U193"/>
    <n v="16"/>
    <x v="5"/>
    <s v="Male"/>
    <n v="4.2"/>
    <n v="7"/>
    <n v="7"/>
    <n v="5"/>
    <n v="3"/>
    <s v="TikTok"/>
    <n v="8"/>
  </r>
  <r>
    <s v="U194"/>
    <n v="27"/>
    <x v="1"/>
    <s v="Male"/>
    <n v="5.5"/>
    <n v="6"/>
    <n v="8"/>
    <n v="3"/>
    <n v="1"/>
    <s v="TikTok"/>
    <n v="7"/>
  </r>
  <r>
    <s v="U195"/>
    <n v="20"/>
    <x v="5"/>
    <s v="Male"/>
    <n v="2.6"/>
    <n v="9"/>
    <n v="4"/>
    <n v="4"/>
    <n v="1"/>
    <s v="TikTok"/>
    <n v="10"/>
  </r>
  <r>
    <s v="U196"/>
    <n v="47"/>
    <x v="6"/>
    <s v="Female"/>
    <n v="6.5"/>
    <n v="5"/>
    <n v="7"/>
    <n v="2"/>
    <n v="2"/>
    <s v="LinkedIn"/>
    <n v="8"/>
  </r>
  <r>
    <s v="U197"/>
    <n v="24"/>
    <x v="2"/>
    <s v="Male"/>
    <n v="4.4000000000000004"/>
    <n v="8"/>
    <n v="7"/>
    <n v="6"/>
    <n v="3"/>
    <s v="Instagram"/>
    <n v="10"/>
  </r>
  <r>
    <s v="U198"/>
    <n v="34"/>
    <x v="4"/>
    <s v="Male"/>
    <n v="7.3"/>
    <n v="5"/>
    <n v="7"/>
    <n v="1"/>
    <n v="1"/>
    <s v="YouTube"/>
    <n v="6"/>
  </r>
  <r>
    <s v="U199"/>
    <n v="31"/>
    <x v="4"/>
    <s v="Female"/>
    <n v="5"/>
    <n v="7"/>
    <n v="5"/>
    <n v="2"/>
    <n v="3"/>
    <s v="X (Twitter)"/>
    <n v="10"/>
  </r>
  <r>
    <s v="U200"/>
    <n v="18"/>
    <x v="5"/>
    <s v="Male"/>
    <n v="5.5"/>
    <n v="5"/>
    <n v="6"/>
    <n v="2"/>
    <n v="6"/>
    <s v="X (Twitter)"/>
    <n v="9"/>
  </r>
  <r>
    <s v="U201"/>
    <n v="35"/>
    <x v="4"/>
    <s v="Female"/>
    <n v="5.2"/>
    <n v="7"/>
    <n v="6"/>
    <n v="4"/>
    <n v="0"/>
    <s v="Facebook"/>
    <n v="10"/>
  </r>
  <r>
    <s v="U202"/>
    <n v="39"/>
    <x v="3"/>
    <s v="Male"/>
    <n v="4.3"/>
    <n v="9"/>
    <n v="7"/>
    <n v="1"/>
    <n v="3"/>
    <s v="TikTok"/>
    <n v="9"/>
  </r>
  <r>
    <s v="U203"/>
    <n v="48"/>
    <x v="6"/>
    <s v="Female"/>
    <n v="10"/>
    <n v="3"/>
    <n v="10"/>
    <n v="3"/>
    <n v="2"/>
    <s v="TikTok"/>
    <n v="4"/>
  </r>
  <r>
    <s v="U204"/>
    <n v="39"/>
    <x v="3"/>
    <s v="Female"/>
    <n v="4.5999999999999996"/>
    <n v="6"/>
    <n v="7"/>
    <n v="3"/>
    <n v="3"/>
    <s v="TikTok"/>
    <n v="6"/>
  </r>
  <r>
    <s v="U205"/>
    <n v="26"/>
    <x v="1"/>
    <s v="Male"/>
    <n v="7.3"/>
    <n v="5"/>
    <n v="8"/>
    <n v="2"/>
    <n v="2"/>
    <s v="X (Twitter)"/>
    <n v="7"/>
  </r>
  <r>
    <s v="U206"/>
    <n v="23"/>
    <x v="2"/>
    <s v="Male"/>
    <n v="3.5"/>
    <n v="9"/>
    <n v="5"/>
    <n v="4"/>
    <n v="2"/>
    <s v="Facebook"/>
    <n v="10"/>
  </r>
  <r>
    <s v="U207"/>
    <n v="35"/>
    <x v="4"/>
    <s v="Male"/>
    <n v="6.2"/>
    <n v="4"/>
    <n v="8"/>
    <n v="1"/>
    <n v="3"/>
    <s v="Instagram"/>
    <n v="7"/>
  </r>
  <r>
    <s v="U208"/>
    <n v="40"/>
    <x v="3"/>
    <s v="Male"/>
    <n v="6.4"/>
    <n v="5"/>
    <n v="8"/>
    <n v="1"/>
    <n v="2"/>
    <s v="LinkedIn"/>
    <n v="7"/>
  </r>
  <r>
    <s v="U209"/>
    <n v="40"/>
    <x v="3"/>
    <s v="Other"/>
    <n v="5.5"/>
    <n v="6"/>
    <n v="7"/>
    <n v="3"/>
    <n v="0"/>
    <s v="YouTube"/>
    <n v="9"/>
  </r>
  <r>
    <s v="U210"/>
    <n v="44"/>
    <x v="0"/>
    <s v="Male"/>
    <n v="4.5"/>
    <n v="6"/>
    <n v="6"/>
    <n v="0"/>
    <n v="2"/>
    <s v="Instagram"/>
    <n v="9"/>
  </r>
  <r>
    <s v="U211"/>
    <n v="33"/>
    <x v="4"/>
    <s v="Female"/>
    <n v="5"/>
    <n v="6"/>
    <n v="6"/>
    <n v="0"/>
    <n v="0"/>
    <s v="X (Twitter)"/>
    <n v="8"/>
  </r>
  <r>
    <s v="U212"/>
    <n v="33"/>
    <x v="4"/>
    <s v="Male"/>
    <n v="4.8"/>
    <n v="5"/>
    <n v="6"/>
    <n v="4"/>
    <n v="3"/>
    <s v="LinkedIn"/>
    <n v="9"/>
  </r>
  <r>
    <s v="U213"/>
    <n v="17"/>
    <x v="5"/>
    <s v="Female"/>
    <n v="9.8000000000000007"/>
    <n v="4"/>
    <n v="9"/>
    <n v="5"/>
    <n v="0"/>
    <s v="LinkedIn"/>
    <n v="6"/>
  </r>
  <r>
    <s v="U214"/>
    <n v="31"/>
    <x v="4"/>
    <s v="Female"/>
    <n v="5.5"/>
    <n v="7"/>
    <n v="7"/>
    <n v="2"/>
    <n v="4"/>
    <s v="LinkedIn"/>
    <n v="9"/>
  </r>
  <r>
    <s v="U215"/>
    <n v="48"/>
    <x v="6"/>
    <s v="Female"/>
    <n v="6.4"/>
    <n v="4"/>
    <n v="6"/>
    <n v="2"/>
    <n v="3"/>
    <s v="TikTok"/>
    <n v="7"/>
  </r>
  <r>
    <s v="U216"/>
    <n v="19"/>
    <x v="5"/>
    <s v="Female"/>
    <n v="8.6999999999999993"/>
    <n v="6"/>
    <n v="7"/>
    <n v="5"/>
    <n v="3"/>
    <s v="YouTube"/>
    <n v="10"/>
  </r>
  <r>
    <s v="U217"/>
    <n v="48"/>
    <x v="6"/>
    <s v="Male"/>
    <n v="3.9"/>
    <n v="9"/>
    <n v="5"/>
    <n v="1"/>
    <n v="0"/>
    <s v="X (Twitter)"/>
    <n v="10"/>
  </r>
  <r>
    <s v="U218"/>
    <n v="29"/>
    <x v="1"/>
    <s v="Male"/>
    <n v="5.6"/>
    <n v="6"/>
    <n v="6"/>
    <n v="0"/>
    <n v="2"/>
    <s v="X (Twitter)"/>
    <n v="8"/>
  </r>
  <r>
    <s v="U219"/>
    <n v="36"/>
    <x v="3"/>
    <s v="Female"/>
    <n v="5"/>
    <n v="8"/>
    <n v="6"/>
    <n v="4"/>
    <n v="4"/>
    <s v="LinkedIn"/>
    <n v="10"/>
  </r>
  <r>
    <s v="U220"/>
    <n v="35"/>
    <x v="4"/>
    <s v="Female"/>
    <n v="5.3"/>
    <n v="6"/>
    <n v="6"/>
    <n v="3"/>
    <n v="2"/>
    <s v="X (Twitter)"/>
    <n v="9"/>
  </r>
  <r>
    <s v="U221"/>
    <n v="23"/>
    <x v="2"/>
    <s v="Other"/>
    <n v="5.2"/>
    <n v="7"/>
    <n v="6"/>
    <n v="5"/>
    <n v="1"/>
    <s v="YouTube"/>
    <n v="9"/>
  </r>
  <r>
    <s v="U222"/>
    <n v="22"/>
    <x v="2"/>
    <s v="Male"/>
    <n v="4.2"/>
    <n v="6"/>
    <n v="6"/>
    <n v="0"/>
    <n v="2"/>
    <s v="YouTube"/>
    <n v="8"/>
  </r>
  <r>
    <s v="U223"/>
    <n v="18"/>
    <x v="5"/>
    <s v="Female"/>
    <n v="5.9"/>
    <n v="8"/>
    <n v="6"/>
    <n v="0"/>
    <n v="2"/>
    <s v="Facebook"/>
    <n v="8"/>
  </r>
  <r>
    <s v="U224"/>
    <n v="32"/>
    <x v="4"/>
    <s v="Female"/>
    <n v="3.6"/>
    <n v="7"/>
    <n v="5"/>
    <n v="3"/>
    <n v="1"/>
    <s v="Facebook"/>
    <n v="10"/>
  </r>
  <r>
    <s v="U225"/>
    <n v="48"/>
    <x v="6"/>
    <s v="Male"/>
    <n v="7.3"/>
    <n v="5"/>
    <n v="9"/>
    <n v="4"/>
    <n v="4"/>
    <s v="Instagram"/>
    <n v="5"/>
  </r>
  <r>
    <s v="U226"/>
    <n v="27"/>
    <x v="1"/>
    <s v="Male"/>
    <n v="6.6"/>
    <n v="5"/>
    <n v="7"/>
    <n v="5"/>
    <n v="2"/>
    <s v="YouTube"/>
    <n v="7"/>
  </r>
  <r>
    <s v="U227"/>
    <n v="37"/>
    <x v="3"/>
    <s v="Female"/>
    <n v="4.5999999999999996"/>
    <n v="9"/>
    <n v="6"/>
    <n v="3"/>
    <n v="2"/>
    <s v="YouTube"/>
    <n v="8"/>
  </r>
  <r>
    <s v="U228"/>
    <n v="37"/>
    <x v="3"/>
    <s v="Female"/>
    <n v="4.7"/>
    <n v="9"/>
    <n v="6"/>
    <n v="3"/>
    <n v="1"/>
    <s v="YouTube"/>
    <n v="10"/>
  </r>
  <r>
    <s v="U229"/>
    <n v="45"/>
    <x v="0"/>
    <s v="Female"/>
    <n v="6"/>
    <n v="8"/>
    <n v="7"/>
    <n v="2"/>
    <n v="3"/>
    <s v="Facebook"/>
    <n v="9"/>
  </r>
  <r>
    <s v="U230"/>
    <n v="23"/>
    <x v="2"/>
    <s v="Male"/>
    <n v="4.0999999999999996"/>
    <n v="8"/>
    <n v="5"/>
    <n v="6"/>
    <n v="3"/>
    <s v="LinkedIn"/>
    <n v="10"/>
  </r>
  <r>
    <s v="U231"/>
    <n v="42"/>
    <x v="0"/>
    <s v="Female"/>
    <n v="8.8000000000000007"/>
    <n v="4"/>
    <n v="8"/>
    <n v="1"/>
    <n v="1"/>
    <s v="LinkedIn"/>
    <n v="6"/>
  </r>
  <r>
    <s v="U232"/>
    <n v="42"/>
    <x v="0"/>
    <s v="Male"/>
    <n v="6.1"/>
    <n v="7"/>
    <n v="6"/>
    <n v="4"/>
    <n v="0"/>
    <s v="X (Twitter)"/>
    <n v="8"/>
  </r>
  <r>
    <s v="U233"/>
    <n v="49"/>
    <x v="6"/>
    <s v="Male"/>
    <n v="6.2"/>
    <n v="6"/>
    <n v="8"/>
    <n v="1"/>
    <n v="3"/>
    <s v="LinkedIn"/>
    <n v="8"/>
  </r>
  <r>
    <s v="U234"/>
    <n v="36"/>
    <x v="3"/>
    <s v="Male"/>
    <n v="6.7"/>
    <n v="7"/>
    <n v="7"/>
    <n v="4"/>
    <n v="2"/>
    <s v="TikTok"/>
    <n v="8"/>
  </r>
  <r>
    <s v="U235"/>
    <n v="45"/>
    <x v="0"/>
    <s v="Female"/>
    <n v="4.5"/>
    <n v="8"/>
    <n v="6"/>
    <n v="1"/>
    <n v="3"/>
    <s v="Facebook"/>
    <n v="10"/>
  </r>
  <r>
    <s v="U236"/>
    <n v="48"/>
    <x v="6"/>
    <s v="Female"/>
    <n v="7.5"/>
    <n v="4"/>
    <n v="9"/>
    <n v="4"/>
    <n v="5"/>
    <s v="YouTube"/>
    <n v="5"/>
  </r>
  <r>
    <s v="U237"/>
    <n v="43"/>
    <x v="0"/>
    <s v="Female"/>
    <n v="5.7"/>
    <n v="7"/>
    <n v="7"/>
    <n v="3"/>
    <n v="2"/>
    <s v="LinkedIn"/>
    <n v="9"/>
  </r>
  <r>
    <s v="U238"/>
    <n v="48"/>
    <x v="6"/>
    <s v="Male"/>
    <n v="7.2"/>
    <n v="6"/>
    <n v="8"/>
    <n v="6"/>
    <n v="2"/>
    <s v="Facebook"/>
    <n v="9"/>
  </r>
  <r>
    <s v="U239"/>
    <n v="20"/>
    <x v="5"/>
    <s v="Female"/>
    <n v="5.0999999999999996"/>
    <n v="4"/>
    <n v="5"/>
    <n v="2"/>
    <n v="1"/>
    <s v="LinkedIn"/>
    <n v="9"/>
  </r>
  <r>
    <s v="U240"/>
    <n v="34"/>
    <x v="4"/>
    <s v="Male"/>
    <n v="7.9"/>
    <n v="6"/>
    <n v="8"/>
    <n v="4"/>
    <n v="2"/>
    <s v="Instagram"/>
    <n v="7"/>
  </r>
  <r>
    <s v="U241"/>
    <n v="19"/>
    <x v="5"/>
    <s v="Female"/>
    <n v="6.2"/>
    <n v="5"/>
    <n v="7"/>
    <n v="1"/>
    <n v="3"/>
    <s v="YouTube"/>
    <n v="8"/>
  </r>
  <r>
    <s v="U242"/>
    <n v="32"/>
    <x v="4"/>
    <s v="Male"/>
    <n v="9.4"/>
    <n v="3"/>
    <n v="9"/>
    <n v="2"/>
    <n v="3"/>
    <s v="Instagram"/>
    <n v="5"/>
  </r>
  <r>
    <s v="U243"/>
    <n v="43"/>
    <x v="0"/>
    <s v="Male"/>
    <n v="4.8"/>
    <n v="6"/>
    <n v="5"/>
    <n v="3"/>
    <n v="5"/>
    <s v="YouTube"/>
    <n v="10"/>
  </r>
  <r>
    <s v="U244"/>
    <n v="45"/>
    <x v="0"/>
    <s v="Male"/>
    <n v="5.9"/>
    <n v="6"/>
    <n v="8"/>
    <n v="0"/>
    <n v="3"/>
    <s v="Facebook"/>
    <n v="7"/>
  </r>
  <r>
    <s v="U245"/>
    <n v="44"/>
    <x v="0"/>
    <s v="Male"/>
    <n v="3.6"/>
    <n v="8"/>
    <n v="5"/>
    <n v="0"/>
    <n v="2"/>
    <s v="X (Twitter)"/>
    <n v="10"/>
  </r>
  <r>
    <s v="U246"/>
    <n v="21"/>
    <x v="2"/>
    <s v="Female"/>
    <n v="4.5"/>
    <n v="6"/>
    <n v="6"/>
    <n v="4"/>
    <n v="1"/>
    <s v="LinkedIn"/>
    <n v="9"/>
  </r>
  <r>
    <s v="U247"/>
    <n v="39"/>
    <x v="3"/>
    <s v="Female"/>
    <n v="6.6"/>
    <n v="6"/>
    <n v="7"/>
    <n v="3"/>
    <n v="3"/>
    <s v="LinkedIn"/>
    <n v="7"/>
  </r>
  <r>
    <s v="U248"/>
    <n v="44"/>
    <x v="0"/>
    <s v="Male"/>
    <n v="7.5"/>
    <n v="6"/>
    <n v="9"/>
    <n v="2"/>
    <n v="1"/>
    <s v="TikTok"/>
    <n v="6"/>
  </r>
  <r>
    <s v="U249"/>
    <n v="46"/>
    <x v="6"/>
    <s v="Female"/>
    <n v="10.8"/>
    <n v="5"/>
    <n v="10"/>
    <n v="2"/>
    <n v="3"/>
    <s v="Instagram"/>
    <n v="4"/>
  </r>
  <r>
    <s v="U250"/>
    <n v="48"/>
    <x v="6"/>
    <s v="Male"/>
    <n v="5.3"/>
    <n v="5"/>
    <n v="5"/>
    <n v="2"/>
    <n v="3"/>
    <s v="LinkedIn"/>
    <n v="8"/>
  </r>
  <r>
    <s v="U251"/>
    <n v="36"/>
    <x v="3"/>
    <s v="Female"/>
    <n v="3.8"/>
    <n v="7"/>
    <n v="5"/>
    <n v="3"/>
    <n v="2"/>
    <s v="Facebook"/>
    <n v="9"/>
  </r>
  <r>
    <s v="U252"/>
    <n v="47"/>
    <x v="6"/>
    <s v="Female"/>
    <n v="6.9"/>
    <n v="6"/>
    <n v="8"/>
    <n v="4"/>
    <n v="2"/>
    <s v="X (Twitter)"/>
    <n v="8"/>
  </r>
  <r>
    <s v="U253"/>
    <n v="38"/>
    <x v="3"/>
    <s v="Female"/>
    <n v="3.5"/>
    <n v="9"/>
    <n v="4"/>
    <n v="0"/>
    <n v="0"/>
    <s v="Facebook"/>
    <n v="10"/>
  </r>
  <r>
    <s v="U254"/>
    <n v="48"/>
    <x v="6"/>
    <s v="Male"/>
    <n v="6.5"/>
    <n v="5"/>
    <n v="8"/>
    <n v="6"/>
    <n v="4"/>
    <s v="Instagram"/>
    <n v="8"/>
  </r>
  <r>
    <s v="U255"/>
    <n v="18"/>
    <x v="5"/>
    <s v="Female"/>
    <n v="4.5999999999999996"/>
    <n v="8"/>
    <n v="7"/>
    <n v="6"/>
    <n v="3"/>
    <s v="TikTok"/>
    <n v="9"/>
  </r>
  <r>
    <s v="U256"/>
    <n v="33"/>
    <x v="4"/>
    <s v="Female"/>
    <n v="5.9"/>
    <n v="4"/>
    <n v="7"/>
    <n v="0"/>
    <n v="3"/>
    <s v="LinkedIn"/>
    <n v="5"/>
  </r>
  <r>
    <s v="U257"/>
    <n v="40"/>
    <x v="3"/>
    <s v="Male"/>
    <n v="7.5"/>
    <n v="4"/>
    <n v="8"/>
    <n v="5"/>
    <n v="0"/>
    <s v="Facebook"/>
    <n v="7"/>
  </r>
  <r>
    <s v="U258"/>
    <n v="46"/>
    <x v="6"/>
    <s v="Male"/>
    <n v="5.3"/>
    <n v="7"/>
    <n v="8"/>
    <n v="5"/>
    <n v="5"/>
    <s v="YouTube"/>
    <n v="9"/>
  </r>
  <r>
    <s v="U259"/>
    <n v="18"/>
    <x v="5"/>
    <s v="Female"/>
    <n v="7.2"/>
    <n v="4"/>
    <n v="7"/>
    <n v="3"/>
    <n v="2"/>
    <s v="X (Twitter)"/>
    <n v="6"/>
  </r>
  <r>
    <s v="U260"/>
    <n v="39"/>
    <x v="3"/>
    <s v="Female"/>
    <n v="7.1"/>
    <n v="4"/>
    <n v="8"/>
    <n v="0"/>
    <n v="2"/>
    <s v="Facebook"/>
    <n v="7"/>
  </r>
  <r>
    <s v="U261"/>
    <n v="47"/>
    <x v="6"/>
    <s v="Female"/>
    <n v="2.1"/>
    <n v="8"/>
    <n v="4"/>
    <n v="5"/>
    <n v="1"/>
    <s v="X (Twitter)"/>
    <n v="10"/>
  </r>
  <r>
    <s v="U262"/>
    <n v="37"/>
    <x v="3"/>
    <s v="Female"/>
    <n v="3.9"/>
    <n v="8"/>
    <n v="6"/>
    <n v="3"/>
    <n v="0"/>
    <s v="LinkedIn"/>
    <n v="10"/>
  </r>
  <r>
    <s v="U263"/>
    <n v="38"/>
    <x v="3"/>
    <s v="Female"/>
    <n v="2.7"/>
    <n v="6"/>
    <n v="3"/>
    <n v="4"/>
    <n v="4"/>
    <s v="YouTube"/>
    <n v="10"/>
  </r>
  <r>
    <s v="U264"/>
    <n v="17"/>
    <x v="5"/>
    <s v="Male"/>
    <n v="9.1"/>
    <n v="4"/>
    <n v="9"/>
    <n v="7"/>
    <n v="4"/>
    <s v="TikTok"/>
    <n v="4"/>
  </r>
  <r>
    <s v="U265"/>
    <n v="42"/>
    <x v="0"/>
    <s v="Male"/>
    <n v="5.3"/>
    <n v="7"/>
    <n v="7"/>
    <n v="4"/>
    <n v="2"/>
    <s v="TikTok"/>
    <n v="8"/>
  </r>
  <r>
    <s v="U266"/>
    <n v="17"/>
    <x v="5"/>
    <s v="Male"/>
    <n v="8.6999999999999993"/>
    <n v="4"/>
    <n v="8"/>
    <n v="1"/>
    <n v="1"/>
    <s v="YouTube"/>
    <n v="7"/>
  </r>
  <r>
    <s v="U267"/>
    <n v="41"/>
    <x v="0"/>
    <s v="Female"/>
    <n v="2.6"/>
    <n v="8"/>
    <n v="4"/>
    <n v="2"/>
    <n v="2"/>
    <s v="X (Twitter)"/>
    <n v="10"/>
  </r>
  <r>
    <s v="U268"/>
    <n v="32"/>
    <x v="4"/>
    <s v="Male"/>
    <n v="4.5"/>
    <n v="7"/>
    <n v="6"/>
    <n v="1"/>
    <n v="2"/>
    <s v="LinkedIn"/>
    <n v="8"/>
  </r>
  <r>
    <s v="U269"/>
    <n v="48"/>
    <x v="6"/>
    <s v="Female"/>
    <n v="6.9"/>
    <n v="5"/>
    <n v="9"/>
    <n v="4"/>
    <n v="1"/>
    <s v="Facebook"/>
    <n v="6"/>
  </r>
  <r>
    <s v="U270"/>
    <n v="24"/>
    <x v="2"/>
    <s v="Female"/>
    <n v="5.8"/>
    <n v="8"/>
    <n v="6"/>
    <n v="1"/>
    <n v="2"/>
    <s v="YouTube"/>
    <n v="10"/>
  </r>
  <r>
    <s v="U271"/>
    <n v="44"/>
    <x v="0"/>
    <s v="Female"/>
    <n v="6.5"/>
    <n v="5"/>
    <n v="6"/>
    <n v="2"/>
    <n v="3"/>
    <s v="Instagram"/>
    <n v="8"/>
  </r>
  <r>
    <s v="U272"/>
    <n v="41"/>
    <x v="0"/>
    <s v="Male"/>
    <n v="3.2"/>
    <n v="8"/>
    <n v="6"/>
    <n v="0"/>
    <n v="4"/>
    <s v="X (Twitter)"/>
    <n v="10"/>
  </r>
  <r>
    <s v="U273"/>
    <n v="40"/>
    <x v="3"/>
    <s v="Female"/>
    <n v="8"/>
    <n v="5"/>
    <n v="8"/>
    <n v="3"/>
    <n v="3"/>
    <s v="TikTok"/>
    <n v="6"/>
  </r>
  <r>
    <s v="U274"/>
    <n v="39"/>
    <x v="3"/>
    <s v="Male"/>
    <n v="6.9"/>
    <n v="5"/>
    <n v="7"/>
    <n v="3"/>
    <n v="0"/>
    <s v="YouTube"/>
    <n v="9"/>
  </r>
  <r>
    <s v="U275"/>
    <n v="28"/>
    <x v="1"/>
    <s v="Female"/>
    <n v="6.2"/>
    <n v="3"/>
    <n v="8"/>
    <n v="0"/>
    <n v="3"/>
    <s v="TikTok"/>
    <n v="5"/>
  </r>
  <r>
    <s v="U276"/>
    <n v="22"/>
    <x v="2"/>
    <s v="Male"/>
    <n v="4.3"/>
    <n v="7"/>
    <n v="5"/>
    <n v="4"/>
    <n v="2"/>
    <s v="X (Twitter)"/>
    <n v="10"/>
  </r>
  <r>
    <s v="U277"/>
    <n v="35"/>
    <x v="4"/>
    <s v="Male"/>
    <n v="6.1"/>
    <n v="7"/>
    <n v="8"/>
    <n v="3"/>
    <n v="5"/>
    <s v="TikTok"/>
    <n v="9"/>
  </r>
  <r>
    <s v="U278"/>
    <n v="16"/>
    <x v="5"/>
    <s v="Female"/>
    <n v="5"/>
    <n v="7"/>
    <n v="6"/>
    <n v="1"/>
    <n v="5"/>
    <s v="YouTube"/>
    <n v="10"/>
  </r>
  <r>
    <s v="U279"/>
    <n v="23"/>
    <x v="2"/>
    <s v="Male"/>
    <n v="2.5"/>
    <n v="9"/>
    <n v="5"/>
    <n v="7"/>
    <n v="5"/>
    <s v="X (Twitter)"/>
    <n v="10"/>
  </r>
  <r>
    <s v="U280"/>
    <n v="31"/>
    <x v="4"/>
    <s v="Male"/>
    <n v="5.4"/>
    <n v="5"/>
    <n v="8"/>
    <n v="5"/>
    <n v="2"/>
    <s v="Instagram"/>
    <n v="7"/>
  </r>
  <r>
    <s v="U281"/>
    <n v="29"/>
    <x v="1"/>
    <s v="Female"/>
    <n v="5.2"/>
    <n v="7"/>
    <n v="6"/>
    <n v="1"/>
    <n v="5"/>
    <s v="YouTube"/>
    <n v="10"/>
  </r>
  <r>
    <s v="U282"/>
    <n v="27"/>
    <x v="1"/>
    <s v="Female"/>
    <n v="7.4"/>
    <n v="4"/>
    <n v="9"/>
    <n v="5"/>
    <n v="3"/>
    <s v="Facebook"/>
    <n v="5"/>
  </r>
  <r>
    <s v="U283"/>
    <n v="38"/>
    <x v="3"/>
    <s v="Female"/>
    <n v="1.5"/>
    <n v="9"/>
    <n v="4"/>
    <n v="5"/>
    <n v="5"/>
    <s v="LinkedIn"/>
    <n v="10"/>
  </r>
  <r>
    <s v="U284"/>
    <n v="30"/>
    <x v="1"/>
    <s v="Female"/>
    <n v="5.9"/>
    <n v="6"/>
    <n v="9"/>
    <n v="3"/>
    <n v="2"/>
    <s v="YouTube"/>
    <n v="7"/>
  </r>
  <r>
    <s v="U285"/>
    <n v="43"/>
    <x v="0"/>
    <s v="Female"/>
    <n v="3.4"/>
    <n v="7"/>
    <n v="7"/>
    <n v="4"/>
    <n v="2"/>
    <s v="X (Twitter)"/>
    <n v="10"/>
  </r>
  <r>
    <s v="U286"/>
    <n v="49"/>
    <x v="6"/>
    <s v="Male"/>
    <n v="6.1"/>
    <n v="5"/>
    <n v="6"/>
    <n v="4"/>
    <n v="3"/>
    <s v="LinkedIn"/>
    <n v="9"/>
  </r>
  <r>
    <s v="U287"/>
    <n v="17"/>
    <x v="5"/>
    <s v="Male"/>
    <n v="6.2"/>
    <n v="6"/>
    <n v="8"/>
    <n v="0"/>
    <n v="3"/>
    <s v="YouTube"/>
    <n v="7"/>
  </r>
  <r>
    <s v="U288"/>
    <n v="47"/>
    <x v="6"/>
    <s v="Male"/>
    <n v="5.3"/>
    <n v="6"/>
    <n v="6"/>
    <n v="3"/>
    <n v="4"/>
    <s v="Instagram"/>
    <n v="9"/>
  </r>
  <r>
    <s v="U289"/>
    <n v="38"/>
    <x v="3"/>
    <s v="Female"/>
    <n v="7"/>
    <n v="4"/>
    <n v="8"/>
    <n v="3"/>
    <n v="2"/>
    <s v="Instagram"/>
    <n v="6"/>
  </r>
  <r>
    <s v="U290"/>
    <n v="37"/>
    <x v="3"/>
    <s v="Female"/>
    <n v="3.3"/>
    <n v="7"/>
    <n v="5"/>
    <n v="6"/>
    <n v="4"/>
    <s v="Facebook"/>
    <n v="9"/>
  </r>
  <r>
    <s v="U291"/>
    <n v="40"/>
    <x v="3"/>
    <s v="Male"/>
    <n v="7.5"/>
    <n v="5"/>
    <n v="7"/>
    <n v="4"/>
    <n v="4"/>
    <s v="TikTok"/>
    <n v="9"/>
  </r>
  <r>
    <s v="U292"/>
    <n v="37"/>
    <x v="3"/>
    <s v="Male"/>
    <n v="4.2"/>
    <n v="9"/>
    <n v="7"/>
    <n v="2"/>
    <n v="2"/>
    <s v="LinkedIn"/>
    <n v="8"/>
  </r>
  <r>
    <s v="U293"/>
    <n v="37"/>
    <x v="3"/>
    <s v="Other"/>
    <n v="2.7"/>
    <n v="8"/>
    <n v="5"/>
    <n v="3"/>
    <n v="3"/>
    <s v="X (Twitter)"/>
    <n v="10"/>
  </r>
  <r>
    <s v="U294"/>
    <n v="21"/>
    <x v="2"/>
    <s v="Male"/>
    <n v="5"/>
    <n v="7"/>
    <n v="6"/>
    <n v="5"/>
    <n v="2"/>
    <s v="X (Twitter)"/>
    <n v="10"/>
  </r>
  <r>
    <s v="U295"/>
    <n v="30"/>
    <x v="1"/>
    <s v="Female"/>
    <n v="1.7"/>
    <n v="9"/>
    <n v="4"/>
    <n v="3"/>
    <n v="6"/>
    <s v="TikTok"/>
    <n v="10"/>
  </r>
  <r>
    <s v="U296"/>
    <n v="48"/>
    <x v="6"/>
    <s v="Female"/>
    <n v="6"/>
    <n v="5"/>
    <n v="7"/>
    <n v="2"/>
    <n v="0"/>
    <s v="Instagram"/>
    <n v="7"/>
  </r>
  <r>
    <s v="U297"/>
    <n v="23"/>
    <x v="2"/>
    <s v="Female"/>
    <n v="5"/>
    <n v="5"/>
    <n v="7"/>
    <n v="2"/>
    <n v="4"/>
    <s v="Instagram"/>
    <n v="8"/>
  </r>
  <r>
    <s v="U298"/>
    <n v="20"/>
    <x v="5"/>
    <s v="Male"/>
    <n v="7.7"/>
    <n v="4"/>
    <n v="8"/>
    <n v="5"/>
    <n v="0"/>
    <s v="YouTube"/>
    <n v="5"/>
  </r>
  <r>
    <s v="U299"/>
    <n v="19"/>
    <x v="5"/>
    <s v="Female"/>
    <n v="6.7"/>
    <n v="6"/>
    <n v="5"/>
    <n v="4"/>
    <n v="2"/>
    <s v="Facebook"/>
    <n v="9"/>
  </r>
  <r>
    <s v="U300"/>
    <n v="21"/>
    <x v="2"/>
    <s v="Female"/>
    <n v="3"/>
    <n v="8"/>
    <n v="5"/>
    <n v="3"/>
    <n v="2"/>
    <s v="LinkedIn"/>
    <n v="10"/>
  </r>
  <r>
    <s v="U301"/>
    <n v="47"/>
    <x v="6"/>
    <s v="Female"/>
    <n v="4"/>
    <n v="8"/>
    <n v="4"/>
    <n v="3"/>
    <n v="5"/>
    <s v="Facebook"/>
    <n v="10"/>
  </r>
  <r>
    <s v="U302"/>
    <n v="45"/>
    <x v="0"/>
    <s v="Female"/>
    <n v="6.4"/>
    <n v="6"/>
    <n v="7"/>
    <n v="2"/>
    <n v="1"/>
    <s v="Facebook"/>
    <n v="7"/>
  </r>
  <r>
    <s v="U303"/>
    <n v="31"/>
    <x v="4"/>
    <s v="Female"/>
    <n v="7"/>
    <n v="5"/>
    <n v="6"/>
    <n v="3"/>
    <n v="4"/>
    <s v="YouTube"/>
    <n v="8"/>
  </r>
  <r>
    <s v="U304"/>
    <n v="28"/>
    <x v="1"/>
    <s v="Female"/>
    <n v="7.7"/>
    <n v="4"/>
    <n v="7"/>
    <n v="2"/>
    <n v="1"/>
    <s v="Facebook"/>
    <n v="7"/>
  </r>
  <r>
    <s v="U305"/>
    <n v="45"/>
    <x v="0"/>
    <s v="Male"/>
    <n v="7.7"/>
    <n v="6"/>
    <n v="9"/>
    <n v="2"/>
    <n v="5"/>
    <s v="TikTok"/>
    <n v="6"/>
  </r>
  <r>
    <s v="U306"/>
    <n v="34"/>
    <x v="4"/>
    <s v="Female"/>
    <n v="5.3"/>
    <n v="6"/>
    <n v="6"/>
    <n v="6"/>
    <n v="2"/>
    <s v="YouTube"/>
    <n v="10"/>
  </r>
  <r>
    <s v="U307"/>
    <n v="32"/>
    <x v="4"/>
    <s v="Female"/>
    <n v="6.2"/>
    <n v="5"/>
    <n v="7"/>
    <n v="1"/>
    <n v="3"/>
    <s v="TikTok"/>
    <n v="7"/>
  </r>
  <r>
    <s v="U308"/>
    <n v="34"/>
    <x v="4"/>
    <s v="Male"/>
    <n v="7.8"/>
    <n v="5"/>
    <n v="9"/>
    <n v="2"/>
    <n v="2"/>
    <s v="YouTube"/>
    <n v="6"/>
  </r>
  <r>
    <s v="U309"/>
    <n v="43"/>
    <x v="0"/>
    <s v="Female"/>
    <n v="5"/>
    <n v="5"/>
    <n v="6"/>
    <n v="0"/>
    <n v="4"/>
    <s v="Facebook"/>
    <n v="8"/>
  </r>
  <r>
    <s v="U310"/>
    <n v="41"/>
    <x v="0"/>
    <s v="Female"/>
    <n v="6.2"/>
    <n v="8"/>
    <n v="9"/>
    <n v="0"/>
    <n v="4"/>
    <s v="TikTok"/>
    <n v="7"/>
  </r>
  <r>
    <s v="U311"/>
    <n v="41"/>
    <x v="0"/>
    <s v="Female"/>
    <n v="4.9000000000000004"/>
    <n v="7"/>
    <n v="6"/>
    <n v="3"/>
    <n v="3"/>
    <s v="TikTok"/>
    <n v="9"/>
  </r>
  <r>
    <s v="U312"/>
    <n v="38"/>
    <x v="3"/>
    <s v="Male"/>
    <n v="4.5"/>
    <n v="7"/>
    <n v="6"/>
    <n v="2"/>
    <n v="1"/>
    <s v="TikTok"/>
    <n v="9"/>
  </r>
  <r>
    <s v="U313"/>
    <n v="24"/>
    <x v="2"/>
    <s v="Male"/>
    <n v="5.6"/>
    <n v="5"/>
    <n v="8"/>
    <n v="7"/>
    <n v="1"/>
    <s v="YouTube"/>
    <n v="7"/>
  </r>
  <r>
    <s v="U314"/>
    <n v="27"/>
    <x v="1"/>
    <s v="Other"/>
    <n v="4.3"/>
    <n v="7"/>
    <n v="7"/>
    <n v="2"/>
    <n v="1"/>
    <s v="X (Twitter)"/>
    <n v="8"/>
  </r>
  <r>
    <s v="U315"/>
    <n v="16"/>
    <x v="5"/>
    <s v="Female"/>
    <n v="5.3"/>
    <n v="6"/>
    <n v="6"/>
    <n v="6"/>
    <n v="0"/>
    <s v="Facebook"/>
    <n v="9"/>
  </r>
  <r>
    <s v="U316"/>
    <n v="16"/>
    <x v="5"/>
    <s v="Male"/>
    <n v="3.6"/>
    <n v="7"/>
    <n v="5"/>
    <n v="5"/>
    <n v="4"/>
    <s v="TikTok"/>
    <n v="10"/>
  </r>
  <r>
    <s v="U317"/>
    <n v="49"/>
    <x v="6"/>
    <s v="Female"/>
    <n v="5.2"/>
    <n v="7"/>
    <n v="8"/>
    <n v="3"/>
    <n v="2"/>
    <s v="LinkedIn"/>
    <n v="8"/>
  </r>
  <r>
    <s v="U318"/>
    <n v="47"/>
    <x v="6"/>
    <s v="Female"/>
    <n v="6.3"/>
    <n v="5"/>
    <n v="8"/>
    <n v="7"/>
    <n v="2"/>
    <s v="X (Twitter)"/>
    <n v="8"/>
  </r>
  <r>
    <s v="U319"/>
    <n v="40"/>
    <x v="3"/>
    <s v="Female"/>
    <n v="4.4000000000000004"/>
    <n v="8"/>
    <n v="7"/>
    <n v="4"/>
    <n v="5"/>
    <s v="LinkedIn"/>
    <n v="8"/>
  </r>
  <r>
    <s v="U320"/>
    <n v="16"/>
    <x v="5"/>
    <s v="Female"/>
    <n v="5.5"/>
    <n v="9"/>
    <n v="5"/>
    <n v="6"/>
    <n v="2"/>
    <s v="Facebook"/>
    <n v="10"/>
  </r>
  <r>
    <s v="U321"/>
    <n v="31"/>
    <x v="4"/>
    <s v="Male"/>
    <n v="5.8"/>
    <n v="6"/>
    <n v="8"/>
    <n v="6"/>
    <n v="1"/>
    <s v="Facebook"/>
    <n v="7"/>
  </r>
  <r>
    <s v="U322"/>
    <n v="20"/>
    <x v="5"/>
    <s v="Male"/>
    <n v="6.3"/>
    <n v="6"/>
    <n v="6"/>
    <n v="4"/>
    <n v="2"/>
    <s v="TikTok"/>
    <n v="8"/>
  </r>
  <r>
    <s v="U323"/>
    <n v="37"/>
    <x v="3"/>
    <s v="Male"/>
    <n v="5.3"/>
    <n v="7"/>
    <n v="7"/>
    <n v="5"/>
    <n v="1"/>
    <s v="TikTok"/>
    <n v="8"/>
  </r>
  <r>
    <s v="U324"/>
    <n v="44"/>
    <x v="0"/>
    <s v="Female"/>
    <n v="7.5"/>
    <n v="7"/>
    <n v="8"/>
    <n v="4"/>
    <n v="3"/>
    <s v="YouTube"/>
    <n v="9"/>
  </r>
  <r>
    <s v="U325"/>
    <n v="18"/>
    <x v="5"/>
    <s v="Male"/>
    <n v="1.7"/>
    <n v="9"/>
    <n v="3"/>
    <n v="1"/>
    <n v="2"/>
    <s v="X (Twitter)"/>
    <n v="10"/>
  </r>
  <r>
    <s v="U326"/>
    <n v="27"/>
    <x v="1"/>
    <s v="Male"/>
    <n v="10.8"/>
    <n v="2"/>
    <n v="9"/>
    <n v="3"/>
    <n v="2"/>
    <s v="X (Twitter)"/>
    <n v="5"/>
  </r>
  <r>
    <s v="U327"/>
    <n v="41"/>
    <x v="0"/>
    <s v="Male"/>
    <n v="3.9"/>
    <n v="6"/>
    <n v="4"/>
    <n v="5"/>
    <n v="2"/>
    <s v="TikTok"/>
    <n v="9"/>
  </r>
  <r>
    <s v="U328"/>
    <n v="31"/>
    <x v="4"/>
    <s v="Female"/>
    <n v="6.2"/>
    <n v="6"/>
    <n v="7"/>
    <n v="6"/>
    <n v="2"/>
    <s v="Facebook"/>
    <n v="8"/>
  </r>
  <r>
    <s v="U329"/>
    <n v="37"/>
    <x v="3"/>
    <s v="Female"/>
    <n v="3.8"/>
    <n v="7"/>
    <n v="4"/>
    <n v="2"/>
    <n v="3"/>
    <s v="TikTok"/>
    <n v="10"/>
  </r>
  <r>
    <s v="U330"/>
    <n v="44"/>
    <x v="0"/>
    <s v="Male"/>
    <n v="6.7"/>
    <n v="8"/>
    <n v="6"/>
    <n v="4"/>
    <n v="2"/>
    <s v="Facebook"/>
    <n v="10"/>
  </r>
  <r>
    <s v="U331"/>
    <n v="29"/>
    <x v="1"/>
    <s v="Male"/>
    <n v="6"/>
    <n v="8"/>
    <n v="7"/>
    <n v="3"/>
    <n v="2"/>
    <s v="Facebook"/>
    <n v="7"/>
  </r>
  <r>
    <s v="U332"/>
    <n v="43"/>
    <x v="0"/>
    <s v="Female"/>
    <n v="4.3"/>
    <n v="6"/>
    <n v="3"/>
    <n v="3"/>
    <n v="2"/>
    <s v="TikTok"/>
    <n v="10"/>
  </r>
  <r>
    <s v="U333"/>
    <n v="20"/>
    <x v="5"/>
    <s v="Male"/>
    <n v="7.4"/>
    <n v="4"/>
    <n v="9"/>
    <n v="4"/>
    <n v="2"/>
    <s v="Instagram"/>
    <n v="6"/>
  </r>
  <r>
    <s v="U334"/>
    <n v="45"/>
    <x v="0"/>
    <s v="Male"/>
    <n v="5.2"/>
    <n v="7"/>
    <n v="4"/>
    <n v="3"/>
    <n v="3"/>
    <s v="X (Twitter)"/>
    <n v="10"/>
  </r>
  <r>
    <s v="U335"/>
    <n v="20"/>
    <x v="5"/>
    <s v="Male"/>
    <n v="6.5"/>
    <n v="7"/>
    <n v="7"/>
    <n v="4"/>
    <n v="1"/>
    <s v="LinkedIn"/>
    <n v="7"/>
  </r>
  <r>
    <s v="U336"/>
    <n v="27"/>
    <x v="1"/>
    <s v="Male"/>
    <n v="3.8"/>
    <n v="8"/>
    <n v="6"/>
    <n v="6"/>
    <n v="4"/>
    <s v="Facebook"/>
    <n v="10"/>
  </r>
  <r>
    <s v="U337"/>
    <n v="31"/>
    <x v="4"/>
    <s v="Male"/>
    <n v="5.4"/>
    <n v="6"/>
    <n v="7"/>
    <n v="5"/>
    <n v="3"/>
    <s v="Facebook"/>
    <n v="8"/>
  </r>
  <r>
    <s v="U338"/>
    <n v="41"/>
    <x v="0"/>
    <s v="Female"/>
    <n v="9.1"/>
    <n v="4"/>
    <n v="9"/>
    <n v="4"/>
    <n v="2"/>
    <s v="Instagram"/>
    <n v="7"/>
  </r>
  <r>
    <s v="U339"/>
    <n v="41"/>
    <x v="0"/>
    <s v="Male"/>
    <n v="7.2"/>
    <n v="5"/>
    <n v="10"/>
    <n v="7"/>
    <n v="3"/>
    <s v="LinkedIn"/>
    <n v="7"/>
  </r>
  <r>
    <s v="U340"/>
    <n v="36"/>
    <x v="3"/>
    <s v="Female"/>
    <n v="6.1"/>
    <n v="7"/>
    <n v="7"/>
    <n v="5"/>
    <n v="2"/>
    <s v="YouTube"/>
    <n v="9"/>
  </r>
  <r>
    <s v="U341"/>
    <n v="48"/>
    <x v="6"/>
    <s v="Male"/>
    <n v="4.7"/>
    <n v="6"/>
    <n v="7"/>
    <n v="3"/>
    <n v="0"/>
    <s v="Instagram"/>
    <n v="8"/>
  </r>
  <r>
    <s v="U342"/>
    <n v="45"/>
    <x v="0"/>
    <s v="Female"/>
    <n v="5.6"/>
    <n v="6"/>
    <n v="6"/>
    <n v="1"/>
    <n v="3"/>
    <s v="LinkedIn"/>
    <n v="7"/>
  </r>
  <r>
    <s v="U343"/>
    <n v="38"/>
    <x v="3"/>
    <s v="Female"/>
    <n v="5.9"/>
    <n v="7"/>
    <n v="7"/>
    <n v="1"/>
    <n v="1"/>
    <s v="Instagram"/>
    <n v="8"/>
  </r>
  <r>
    <s v="U344"/>
    <n v="25"/>
    <x v="2"/>
    <s v="Male"/>
    <n v="6.3"/>
    <n v="5"/>
    <n v="9"/>
    <n v="5"/>
    <n v="4"/>
    <s v="Facebook"/>
    <n v="8"/>
  </r>
  <r>
    <s v="U345"/>
    <n v="20"/>
    <x v="5"/>
    <s v="Female"/>
    <n v="3.6"/>
    <n v="6"/>
    <n v="5"/>
    <n v="2"/>
    <n v="2"/>
    <s v="X (Twitter)"/>
    <n v="10"/>
  </r>
  <r>
    <s v="U346"/>
    <n v="49"/>
    <x v="6"/>
    <s v="Male"/>
    <n v="6.7"/>
    <n v="6"/>
    <n v="8"/>
    <n v="1"/>
    <n v="4"/>
    <s v="Instagram"/>
    <n v="8"/>
  </r>
  <r>
    <s v="U347"/>
    <n v="46"/>
    <x v="6"/>
    <s v="Other"/>
    <n v="3.5"/>
    <n v="7"/>
    <n v="6"/>
    <n v="1"/>
    <n v="2"/>
    <s v="YouTube"/>
    <n v="10"/>
  </r>
  <r>
    <s v="U348"/>
    <n v="25"/>
    <x v="2"/>
    <s v="Male"/>
    <n v="8.4"/>
    <n v="5"/>
    <n v="8"/>
    <n v="2"/>
    <n v="3"/>
    <s v="TikTok"/>
    <n v="8"/>
  </r>
  <r>
    <s v="U349"/>
    <n v="34"/>
    <x v="4"/>
    <s v="Male"/>
    <n v="4.0999999999999996"/>
    <n v="8"/>
    <n v="4"/>
    <n v="5"/>
    <n v="4"/>
    <s v="LinkedIn"/>
    <n v="10"/>
  </r>
  <r>
    <s v="U350"/>
    <n v="47"/>
    <x v="6"/>
    <s v="Male"/>
    <n v="6"/>
    <n v="6"/>
    <n v="7"/>
    <n v="3"/>
    <n v="2"/>
    <s v="Instagram"/>
    <n v="8"/>
  </r>
  <r>
    <s v="U351"/>
    <n v="16"/>
    <x v="5"/>
    <s v="Other"/>
    <n v="7.3"/>
    <n v="5"/>
    <n v="9"/>
    <n v="0"/>
    <n v="2"/>
    <s v="Instagram"/>
    <n v="8"/>
  </r>
  <r>
    <s v="U352"/>
    <n v="20"/>
    <x v="5"/>
    <s v="Female"/>
    <n v="5"/>
    <n v="6"/>
    <n v="5"/>
    <n v="3"/>
    <n v="3"/>
    <s v="YouTube"/>
    <n v="9"/>
  </r>
  <r>
    <s v="U353"/>
    <n v="19"/>
    <x v="5"/>
    <s v="Female"/>
    <n v="6.1"/>
    <n v="6"/>
    <n v="8"/>
    <n v="3"/>
    <n v="3"/>
    <s v="X (Twitter)"/>
    <n v="9"/>
  </r>
  <r>
    <s v="U354"/>
    <n v="31"/>
    <x v="4"/>
    <s v="Male"/>
    <n v="8.1"/>
    <n v="5"/>
    <n v="9"/>
    <n v="2"/>
    <n v="2"/>
    <s v="Instagram"/>
    <n v="6"/>
  </r>
  <r>
    <s v="U355"/>
    <n v="39"/>
    <x v="3"/>
    <s v="Female"/>
    <n v="6.5"/>
    <n v="5"/>
    <n v="5"/>
    <n v="5"/>
    <n v="0"/>
    <s v="Instagram"/>
    <n v="10"/>
  </r>
  <r>
    <s v="U356"/>
    <n v="31"/>
    <x v="4"/>
    <s v="Male"/>
    <n v="6.1"/>
    <n v="6"/>
    <n v="6"/>
    <n v="2"/>
    <n v="2"/>
    <s v="X (Twitter)"/>
    <n v="8"/>
  </r>
  <r>
    <s v="U357"/>
    <n v="17"/>
    <x v="5"/>
    <s v="Female"/>
    <n v="2.5"/>
    <n v="9"/>
    <n v="4"/>
    <n v="5"/>
    <n v="4"/>
    <s v="YouTube"/>
    <n v="10"/>
  </r>
  <r>
    <s v="U358"/>
    <n v="43"/>
    <x v="0"/>
    <s v="Male"/>
    <n v="3.8"/>
    <n v="8"/>
    <n v="5"/>
    <n v="4"/>
    <n v="1"/>
    <s v="LinkedIn"/>
    <n v="10"/>
  </r>
  <r>
    <s v="U359"/>
    <n v="47"/>
    <x v="6"/>
    <s v="Male"/>
    <n v="7.4"/>
    <n v="6"/>
    <n v="7"/>
    <n v="5"/>
    <n v="2"/>
    <s v="LinkedIn"/>
    <n v="7"/>
  </r>
  <r>
    <s v="U360"/>
    <n v="42"/>
    <x v="0"/>
    <s v="Male"/>
    <n v="6.5"/>
    <n v="5"/>
    <n v="7"/>
    <n v="1"/>
    <n v="2"/>
    <s v="Instagram"/>
    <n v="8"/>
  </r>
  <r>
    <s v="U361"/>
    <n v="35"/>
    <x v="4"/>
    <s v="Female"/>
    <n v="6.8"/>
    <n v="4"/>
    <n v="9"/>
    <n v="3"/>
    <n v="0"/>
    <s v="X (Twitter)"/>
    <n v="7"/>
  </r>
  <r>
    <s v="U362"/>
    <n v="39"/>
    <x v="3"/>
    <s v="Female"/>
    <n v="6.6"/>
    <n v="6"/>
    <n v="7"/>
    <n v="3"/>
    <n v="1"/>
    <s v="Instagram"/>
    <n v="7"/>
  </r>
  <r>
    <s v="U363"/>
    <n v="27"/>
    <x v="1"/>
    <s v="Male"/>
    <n v="7.8"/>
    <n v="5"/>
    <n v="8"/>
    <n v="0"/>
    <n v="4"/>
    <s v="TikTok"/>
    <n v="6"/>
  </r>
  <r>
    <s v="U364"/>
    <n v="48"/>
    <x v="6"/>
    <s v="Female"/>
    <n v="5"/>
    <n v="8"/>
    <n v="6"/>
    <n v="5"/>
    <n v="0"/>
    <s v="LinkedIn"/>
    <n v="10"/>
  </r>
  <r>
    <s v="U365"/>
    <n v="48"/>
    <x v="6"/>
    <s v="Male"/>
    <n v="5.7"/>
    <n v="7"/>
    <n v="7"/>
    <n v="1"/>
    <n v="3"/>
    <s v="Facebook"/>
    <n v="9"/>
  </r>
  <r>
    <s v="U366"/>
    <n v="27"/>
    <x v="1"/>
    <s v="Female"/>
    <n v="3.6"/>
    <n v="8"/>
    <n v="5"/>
    <n v="2"/>
    <n v="1"/>
    <s v="TikTok"/>
    <n v="10"/>
  </r>
  <r>
    <s v="U367"/>
    <n v="18"/>
    <x v="5"/>
    <s v="Male"/>
    <n v="3.2"/>
    <n v="9"/>
    <n v="5"/>
    <n v="1"/>
    <n v="3"/>
    <s v="Instagram"/>
    <n v="10"/>
  </r>
  <r>
    <s v="U368"/>
    <n v="16"/>
    <x v="5"/>
    <s v="Male"/>
    <n v="2.5"/>
    <n v="8"/>
    <n v="4"/>
    <n v="4"/>
    <n v="4"/>
    <s v="YouTube"/>
    <n v="10"/>
  </r>
  <r>
    <s v="U369"/>
    <n v="48"/>
    <x v="6"/>
    <s v="Female"/>
    <n v="3.9"/>
    <n v="6"/>
    <n v="5"/>
    <n v="0"/>
    <n v="2"/>
    <s v="LinkedIn"/>
    <n v="10"/>
  </r>
  <r>
    <s v="U370"/>
    <n v="25"/>
    <x v="2"/>
    <s v="Male"/>
    <n v="8.3000000000000007"/>
    <n v="5"/>
    <n v="8"/>
    <n v="4"/>
    <n v="2"/>
    <s v="Facebook"/>
    <n v="7"/>
  </r>
  <r>
    <s v="U371"/>
    <n v="44"/>
    <x v="0"/>
    <s v="Male"/>
    <n v="2.7"/>
    <n v="9"/>
    <n v="5"/>
    <n v="5"/>
    <n v="1"/>
    <s v="TikTok"/>
    <n v="10"/>
  </r>
  <r>
    <s v="U372"/>
    <n v="28"/>
    <x v="1"/>
    <s v="Female"/>
    <n v="5"/>
    <n v="7"/>
    <n v="5"/>
    <n v="4"/>
    <n v="0"/>
    <s v="LinkedIn"/>
    <n v="9"/>
  </r>
  <r>
    <s v="U373"/>
    <n v="27"/>
    <x v="1"/>
    <s v="Other"/>
    <n v="3.2"/>
    <n v="9"/>
    <n v="6"/>
    <n v="4"/>
    <n v="5"/>
    <s v="X (Twitter)"/>
    <n v="10"/>
  </r>
  <r>
    <s v="U374"/>
    <n v="46"/>
    <x v="6"/>
    <s v="Male"/>
    <n v="4.4000000000000004"/>
    <n v="7"/>
    <n v="7"/>
    <n v="5"/>
    <n v="1"/>
    <s v="YouTube"/>
    <n v="8"/>
  </r>
  <r>
    <s v="U375"/>
    <n v="17"/>
    <x v="5"/>
    <s v="Male"/>
    <n v="5.8"/>
    <n v="6"/>
    <n v="7"/>
    <n v="1"/>
    <n v="5"/>
    <s v="TikTok"/>
    <n v="9"/>
  </r>
  <r>
    <s v="U376"/>
    <n v="38"/>
    <x v="3"/>
    <s v="Female"/>
    <n v="4.2"/>
    <n v="8"/>
    <n v="5"/>
    <n v="6"/>
    <n v="1"/>
    <s v="X (Twitter)"/>
    <n v="10"/>
  </r>
  <r>
    <s v="U377"/>
    <n v="32"/>
    <x v="4"/>
    <s v="Male"/>
    <n v="7.5"/>
    <n v="4"/>
    <n v="7"/>
    <n v="2"/>
    <n v="3"/>
    <s v="Instagram"/>
    <n v="6"/>
  </r>
  <r>
    <s v="U378"/>
    <n v="41"/>
    <x v="0"/>
    <s v="Male"/>
    <n v="8.3000000000000007"/>
    <n v="4"/>
    <n v="10"/>
    <n v="3"/>
    <n v="1"/>
    <s v="X (Twitter)"/>
    <n v="6"/>
  </r>
  <r>
    <s v="U379"/>
    <n v="23"/>
    <x v="2"/>
    <s v="Male"/>
    <n v="1.5"/>
    <n v="9"/>
    <n v="3"/>
    <n v="2"/>
    <n v="3"/>
    <s v="TikTok"/>
    <n v="10"/>
  </r>
  <r>
    <s v="U380"/>
    <n v="44"/>
    <x v="0"/>
    <s v="Female"/>
    <n v="4.3"/>
    <n v="8"/>
    <n v="7"/>
    <n v="4"/>
    <n v="2"/>
    <s v="TikTok"/>
    <n v="10"/>
  </r>
  <r>
    <s v="U381"/>
    <n v="41"/>
    <x v="0"/>
    <s v="Female"/>
    <n v="5.6"/>
    <n v="6"/>
    <n v="7"/>
    <n v="2"/>
    <n v="2"/>
    <s v="Instagram"/>
    <n v="9"/>
  </r>
  <r>
    <s v="U382"/>
    <n v="25"/>
    <x v="2"/>
    <s v="Male"/>
    <n v="7.5"/>
    <n v="4"/>
    <n v="8"/>
    <n v="3"/>
    <n v="3"/>
    <s v="X (Twitter)"/>
    <n v="7"/>
  </r>
  <r>
    <s v="U383"/>
    <n v="41"/>
    <x v="0"/>
    <s v="Male"/>
    <n v="4.7"/>
    <n v="6"/>
    <n v="6"/>
    <n v="1"/>
    <n v="2"/>
    <s v="X (Twitter)"/>
    <n v="9"/>
  </r>
  <r>
    <s v="U384"/>
    <n v="49"/>
    <x v="6"/>
    <s v="Male"/>
    <n v="5.5"/>
    <n v="7"/>
    <n v="5"/>
    <n v="5"/>
    <n v="0"/>
    <s v="Instagram"/>
    <n v="10"/>
  </r>
  <r>
    <s v="U385"/>
    <n v="22"/>
    <x v="2"/>
    <s v="Female"/>
    <n v="3.4"/>
    <n v="8"/>
    <n v="6"/>
    <n v="4"/>
    <n v="4"/>
    <s v="X (Twitter)"/>
    <n v="10"/>
  </r>
  <r>
    <s v="U386"/>
    <n v="19"/>
    <x v="5"/>
    <s v="Male"/>
    <n v="2.7"/>
    <n v="8"/>
    <n v="5"/>
    <n v="2"/>
    <n v="1"/>
    <s v="LinkedIn"/>
    <n v="9"/>
  </r>
  <r>
    <s v="U387"/>
    <n v="26"/>
    <x v="1"/>
    <s v="Male"/>
    <n v="8.1"/>
    <n v="5"/>
    <n v="7"/>
    <n v="2"/>
    <n v="3"/>
    <s v="Instagram"/>
    <n v="7"/>
  </r>
  <r>
    <s v="U388"/>
    <n v="44"/>
    <x v="0"/>
    <s v="Female"/>
    <n v="2.2000000000000002"/>
    <n v="9"/>
    <n v="4"/>
    <n v="4"/>
    <n v="4"/>
    <s v="YouTube"/>
    <n v="10"/>
  </r>
  <r>
    <s v="U389"/>
    <n v="40"/>
    <x v="3"/>
    <s v="Male"/>
    <n v="9.6999999999999993"/>
    <n v="4"/>
    <n v="10"/>
    <n v="2"/>
    <n v="2"/>
    <s v="TikTok"/>
    <n v="6"/>
  </r>
  <r>
    <s v="U390"/>
    <n v="36"/>
    <x v="3"/>
    <s v="Female"/>
    <n v="6.8"/>
    <n v="5"/>
    <n v="8"/>
    <n v="3"/>
    <n v="4"/>
    <s v="YouTube"/>
    <n v="8"/>
  </r>
  <r>
    <s v="U391"/>
    <n v="25"/>
    <x v="2"/>
    <s v="Male"/>
    <n v="6.7"/>
    <n v="7"/>
    <n v="7"/>
    <n v="5"/>
    <n v="3"/>
    <s v="LinkedIn"/>
    <n v="8"/>
  </r>
  <r>
    <s v="U392"/>
    <n v="24"/>
    <x v="2"/>
    <s v="Male"/>
    <n v="6.5"/>
    <n v="7"/>
    <n v="6"/>
    <n v="1"/>
    <n v="1"/>
    <s v="LinkedIn"/>
    <n v="7"/>
  </r>
  <r>
    <s v="U393"/>
    <n v="39"/>
    <x v="3"/>
    <s v="Male"/>
    <n v="5"/>
    <n v="5"/>
    <n v="6"/>
    <n v="4"/>
    <n v="5"/>
    <s v="Facebook"/>
    <n v="8"/>
  </r>
  <r>
    <s v="U394"/>
    <n v="33"/>
    <x v="4"/>
    <s v="Female"/>
    <n v="6.2"/>
    <n v="6"/>
    <n v="7"/>
    <n v="4"/>
    <n v="1"/>
    <s v="Facebook"/>
    <n v="9"/>
  </r>
  <r>
    <s v="U395"/>
    <n v="47"/>
    <x v="6"/>
    <s v="Female"/>
    <n v="5.2"/>
    <n v="7"/>
    <n v="7"/>
    <n v="3"/>
    <n v="2"/>
    <s v="Facebook"/>
    <n v="9"/>
  </r>
  <r>
    <s v="U396"/>
    <n v="39"/>
    <x v="3"/>
    <s v="Female"/>
    <n v="6.5"/>
    <n v="5"/>
    <n v="7"/>
    <n v="2"/>
    <n v="2"/>
    <s v="Instagram"/>
    <n v="8"/>
  </r>
  <r>
    <s v="U397"/>
    <n v="38"/>
    <x v="3"/>
    <s v="Male"/>
    <n v="5.4"/>
    <n v="8"/>
    <n v="9"/>
    <n v="5"/>
    <n v="3"/>
    <s v="X (Twitter)"/>
    <n v="8"/>
  </r>
  <r>
    <s v="U398"/>
    <n v="47"/>
    <x v="6"/>
    <s v="Female"/>
    <n v="3.8"/>
    <n v="8"/>
    <n v="4"/>
    <n v="2"/>
    <n v="4"/>
    <s v="LinkedIn"/>
    <n v="10"/>
  </r>
  <r>
    <s v="U399"/>
    <n v="27"/>
    <x v="1"/>
    <s v="Male"/>
    <n v="3.9"/>
    <n v="7"/>
    <n v="5"/>
    <n v="0"/>
    <n v="4"/>
    <s v="YouTube"/>
    <n v="10"/>
  </r>
  <r>
    <s v="U400"/>
    <n v="28"/>
    <x v="1"/>
    <s v="Male"/>
    <n v="3.7"/>
    <n v="8"/>
    <n v="5"/>
    <n v="4"/>
    <n v="3"/>
    <s v="YouTube"/>
    <n v="10"/>
  </r>
  <r>
    <s v="U401"/>
    <n v="38"/>
    <x v="3"/>
    <s v="Female"/>
    <n v="7.2"/>
    <n v="5"/>
    <n v="8"/>
    <n v="1"/>
    <n v="2"/>
    <s v="YouTube"/>
    <n v="9"/>
  </r>
  <r>
    <s v="U402"/>
    <n v="40"/>
    <x v="3"/>
    <s v="Male"/>
    <n v="4.4000000000000004"/>
    <n v="7"/>
    <n v="5"/>
    <n v="4"/>
    <n v="0"/>
    <s v="YouTube"/>
    <n v="10"/>
  </r>
  <r>
    <s v="U403"/>
    <n v="45"/>
    <x v="0"/>
    <s v="Male"/>
    <n v="2.1"/>
    <n v="10"/>
    <n v="5"/>
    <n v="6"/>
    <n v="1"/>
    <s v="Facebook"/>
    <n v="10"/>
  </r>
  <r>
    <s v="U404"/>
    <n v="32"/>
    <x v="4"/>
    <s v="Male"/>
    <n v="6.2"/>
    <n v="6"/>
    <n v="8"/>
    <n v="4"/>
    <n v="5"/>
    <s v="YouTube"/>
    <n v="7"/>
  </r>
  <r>
    <s v="U405"/>
    <n v="35"/>
    <x v="4"/>
    <s v="Male"/>
    <n v="8.1999999999999993"/>
    <n v="4"/>
    <n v="9"/>
    <n v="5"/>
    <n v="0"/>
    <s v="X (Twitter)"/>
    <n v="6"/>
  </r>
  <r>
    <s v="U406"/>
    <n v="40"/>
    <x v="3"/>
    <s v="Male"/>
    <n v="6.9"/>
    <n v="3"/>
    <n v="8"/>
    <n v="7"/>
    <n v="1"/>
    <s v="Facebook"/>
    <n v="6"/>
  </r>
  <r>
    <s v="U407"/>
    <n v="37"/>
    <x v="3"/>
    <s v="Female"/>
    <n v="4.4000000000000004"/>
    <n v="7"/>
    <n v="6"/>
    <n v="5"/>
    <n v="4"/>
    <s v="YouTube"/>
    <n v="10"/>
  </r>
  <r>
    <s v="U408"/>
    <n v="28"/>
    <x v="1"/>
    <s v="Male"/>
    <n v="2.6"/>
    <n v="10"/>
    <n v="3"/>
    <n v="4"/>
    <n v="3"/>
    <s v="Instagram"/>
    <n v="10"/>
  </r>
  <r>
    <s v="U409"/>
    <n v="34"/>
    <x v="4"/>
    <s v="Female"/>
    <n v="5.3"/>
    <n v="6"/>
    <n v="6"/>
    <n v="6"/>
    <n v="4"/>
    <s v="TikTok"/>
    <n v="8"/>
  </r>
  <r>
    <s v="U410"/>
    <n v="27"/>
    <x v="1"/>
    <s v="Female"/>
    <n v="5.2"/>
    <n v="4"/>
    <n v="7"/>
    <n v="7"/>
    <n v="3"/>
    <s v="TikTok"/>
    <n v="9"/>
  </r>
  <r>
    <s v="U411"/>
    <n v="34"/>
    <x v="4"/>
    <s v="Male"/>
    <n v="3.8"/>
    <n v="7"/>
    <n v="6"/>
    <n v="7"/>
    <n v="5"/>
    <s v="TikTok"/>
    <n v="10"/>
  </r>
  <r>
    <s v="U412"/>
    <n v="27"/>
    <x v="1"/>
    <s v="Male"/>
    <n v="6.5"/>
    <n v="7"/>
    <n v="7"/>
    <n v="2"/>
    <n v="3"/>
    <s v="Facebook"/>
    <n v="10"/>
  </r>
  <r>
    <s v="U413"/>
    <n v="24"/>
    <x v="2"/>
    <s v="Male"/>
    <n v="8.8000000000000007"/>
    <n v="5"/>
    <n v="9"/>
    <n v="0"/>
    <n v="3"/>
    <s v="YouTube"/>
    <n v="6"/>
  </r>
  <r>
    <s v="U414"/>
    <n v="22"/>
    <x v="2"/>
    <s v="Female"/>
    <n v="5.9"/>
    <n v="5"/>
    <n v="6"/>
    <n v="2"/>
    <n v="1"/>
    <s v="LinkedIn"/>
    <n v="9"/>
  </r>
  <r>
    <s v="U415"/>
    <n v="43"/>
    <x v="0"/>
    <s v="Male"/>
    <n v="5.8"/>
    <n v="6"/>
    <n v="7"/>
    <n v="4"/>
    <n v="3"/>
    <s v="LinkedIn"/>
    <n v="9"/>
  </r>
  <r>
    <s v="U416"/>
    <n v="29"/>
    <x v="1"/>
    <s v="Female"/>
    <n v="3.8"/>
    <n v="7"/>
    <n v="6"/>
    <n v="3"/>
    <n v="2"/>
    <s v="LinkedIn"/>
    <n v="8"/>
  </r>
  <r>
    <s v="U417"/>
    <n v="46"/>
    <x v="6"/>
    <s v="Male"/>
    <n v="8"/>
    <n v="4"/>
    <n v="8"/>
    <n v="3"/>
    <n v="2"/>
    <s v="Facebook"/>
    <n v="9"/>
  </r>
  <r>
    <s v="U418"/>
    <n v="34"/>
    <x v="4"/>
    <s v="Female"/>
    <n v="5.4"/>
    <n v="4"/>
    <n v="5"/>
    <n v="4"/>
    <n v="4"/>
    <s v="X (Twitter)"/>
    <n v="10"/>
  </r>
  <r>
    <s v="U419"/>
    <n v="31"/>
    <x v="4"/>
    <s v="Male"/>
    <n v="4.5"/>
    <n v="8"/>
    <n v="5"/>
    <n v="0"/>
    <n v="4"/>
    <s v="Instagram"/>
    <n v="10"/>
  </r>
  <r>
    <s v="U420"/>
    <n v="20"/>
    <x v="5"/>
    <s v="Male"/>
    <n v="5.6"/>
    <n v="8"/>
    <n v="8"/>
    <n v="3"/>
    <n v="5"/>
    <s v="Instagram"/>
    <n v="8"/>
  </r>
  <r>
    <s v="U421"/>
    <n v="27"/>
    <x v="1"/>
    <s v="Other"/>
    <n v="6.3"/>
    <n v="4"/>
    <n v="9"/>
    <n v="5"/>
    <n v="5"/>
    <s v="TikTok"/>
    <n v="6"/>
  </r>
  <r>
    <s v="U422"/>
    <n v="40"/>
    <x v="3"/>
    <s v="Female"/>
    <n v="5.8"/>
    <n v="7"/>
    <n v="8"/>
    <n v="4"/>
    <n v="4"/>
    <s v="TikTok"/>
    <n v="8"/>
  </r>
  <r>
    <s v="U423"/>
    <n v="36"/>
    <x v="3"/>
    <s v="Male"/>
    <n v="7.7"/>
    <n v="5"/>
    <n v="8"/>
    <n v="4"/>
    <n v="0"/>
    <s v="LinkedIn"/>
    <n v="8"/>
  </r>
  <r>
    <s v="U424"/>
    <n v="38"/>
    <x v="3"/>
    <s v="Female"/>
    <n v="6.2"/>
    <n v="7"/>
    <n v="6"/>
    <n v="6"/>
    <n v="5"/>
    <s v="LinkedIn"/>
    <n v="10"/>
  </r>
  <r>
    <s v="U425"/>
    <n v="31"/>
    <x v="4"/>
    <s v="Female"/>
    <n v="5"/>
    <n v="7"/>
    <n v="6"/>
    <n v="3"/>
    <n v="4"/>
    <s v="TikTok"/>
    <n v="10"/>
  </r>
  <r>
    <s v="U426"/>
    <n v="29"/>
    <x v="1"/>
    <s v="Female"/>
    <n v="6.2"/>
    <n v="6"/>
    <n v="9"/>
    <n v="2"/>
    <n v="1"/>
    <s v="YouTube"/>
    <n v="8"/>
  </r>
  <r>
    <s v="U427"/>
    <n v="46"/>
    <x v="6"/>
    <s v="Female"/>
    <n v="6.4"/>
    <n v="6"/>
    <n v="8"/>
    <n v="5"/>
    <n v="4"/>
    <s v="X (Twitter)"/>
    <n v="8"/>
  </r>
  <r>
    <s v="U428"/>
    <n v="20"/>
    <x v="5"/>
    <s v="Male"/>
    <n v="3.2"/>
    <n v="7"/>
    <n v="5"/>
    <n v="5"/>
    <n v="1"/>
    <s v="X (Twitter)"/>
    <n v="9"/>
  </r>
  <r>
    <s v="U429"/>
    <n v="38"/>
    <x v="3"/>
    <s v="Male"/>
    <n v="7.6"/>
    <n v="6"/>
    <n v="9"/>
    <n v="4"/>
    <n v="3"/>
    <s v="X (Twitter)"/>
    <n v="8"/>
  </r>
  <r>
    <s v="U430"/>
    <n v="44"/>
    <x v="0"/>
    <s v="Male"/>
    <n v="5"/>
    <n v="6"/>
    <n v="5"/>
    <n v="3"/>
    <n v="1"/>
    <s v="X (Twitter)"/>
    <n v="10"/>
  </r>
  <r>
    <s v="U431"/>
    <n v="26"/>
    <x v="1"/>
    <s v="Female"/>
    <n v="5"/>
    <n v="6"/>
    <n v="6"/>
    <n v="3"/>
    <n v="1"/>
    <s v="TikTok"/>
    <n v="10"/>
  </r>
  <r>
    <s v="U432"/>
    <n v="33"/>
    <x v="4"/>
    <s v="Female"/>
    <n v="6.9"/>
    <n v="6"/>
    <n v="7"/>
    <n v="0"/>
    <n v="4"/>
    <s v="Instagram"/>
    <n v="7"/>
  </r>
  <r>
    <s v="U433"/>
    <n v="27"/>
    <x v="1"/>
    <s v="Male"/>
    <n v="6.8"/>
    <n v="5"/>
    <n v="8"/>
    <n v="5"/>
    <n v="4"/>
    <s v="TikTok"/>
    <n v="7"/>
  </r>
  <r>
    <s v="U434"/>
    <n v="24"/>
    <x v="2"/>
    <s v="Male"/>
    <n v="4.2"/>
    <n v="8"/>
    <n v="7"/>
    <n v="5"/>
    <n v="3"/>
    <s v="X (Twitter)"/>
    <n v="7"/>
  </r>
  <r>
    <s v="U435"/>
    <n v="25"/>
    <x v="2"/>
    <s v="Female"/>
    <n v="6.9"/>
    <n v="7"/>
    <n v="7"/>
    <n v="0"/>
    <n v="2"/>
    <s v="TikTok"/>
    <n v="9"/>
  </r>
  <r>
    <s v="U436"/>
    <n v="32"/>
    <x v="4"/>
    <s v="Other"/>
    <n v="4.5"/>
    <n v="8"/>
    <n v="5"/>
    <n v="5"/>
    <n v="0"/>
    <s v="X (Twitter)"/>
    <n v="10"/>
  </r>
  <r>
    <s v="U437"/>
    <n v="22"/>
    <x v="2"/>
    <s v="Female"/>
    <n v="8.8000000000000007"/>
    <n v="2"/>
    <n v="9"/>
    <n v="4"/>
    <n v="2"/>
    <s v="Facebook"/>
    <n v="7"/>
  </r>
  <r>
    <s v="U438"/>
    <n v="28"/>
    <x v="1"/>
    <s v="Male"/>
    <n v="4"/>
    <n v="7"/>
    <n v="5"/>
    <n v="1"/>
    <n v="3"/>
    <s v="LinkedIn"/>
    <n v="9"/>
  </r>
  <r>
    <s v="U439"/>
    <n v="24"/>
    <x v="2"/>
    <s v="Male"/>
    <n v="5.9"/>
    <n v="7"/>
    <n v="6"/>
    <n v="1"/>
    <n v="2"/>
    <s v="Instagram"/>
    <n v="8"/>
  </r>
  <r>
    <s v="U440"/>
    <n v="42"/>
    <x v="0"/>
    <s v="Male"/>
    <n v="4.0999999999999996"/>
    <n v="6"/>
    <n v="6"/>
    <n v="4"/>
    <n v="2"/>
    <s v="Facebook"/>
    <n v="9"/>
  </r>
  <r>
    <s v="U441"/>
    <n v="17"/>
    <x v="5"/>
    <s v="Female"/>
    <n v="9.5"/>
    <n v="4"/>
    <n v="9"/>
    <n v="2"/>
    <n v="2"/>
    <s v="YouTube"/>
    <n v="4"/>
  </r>
  <r>
    <s v="U442"/>
    <n v="20"/>
    <x v="5"/>
    <s v="Male"/>
    <n v="3.3"/>
    <n v="8"/>
    <n v="4"/>
    <n v="7"/>
    <n v="2"/>
    <s v="TikTok"/>
    <n v="10"/>
  </r>
  <r>
    <s v="U443"/>
    <n v="44"/>
    <x v="0"/>
    <s v="Female"/>
    <n v="6.4"/>
    <n v="5"/>
    <n v="6"/>
    <n v="5"/>
    <n v="3"/>
    <s v="YouTube"/>
    <n v="6"/>
  </r>
  <r>
    <s v="U444"/>
    <n v="34"/>
    <x v="4"/>
    <s v="Male"/>
    <n v="4.2"/>
    <n v="8"/>
    <n v="4"/>
    <n v="4"/>
    <n v="2"/>
    <s v="TikTok"/>
    <n v="10"/>
  </r>
  <r>
    <s v="U445"/>
    <n v="23"/>
    <x v="2"/>
    <s v="Female"/>
    <n v="4.9000000000000004"/>
    <n v="7"/>
    <n v="7"/>
    <n v="4"/>
    <n v="5"/>
    <s v="LinkedIn"/>
    <n v="7"/>
  </r>
  <r>
    <s v="U446"/>
    <n v="16"/>
    <x v="5"/>
    <s v="Female"/>
    <n v="6.3"/>
    <n v="6"/>
    <n v="7"/>
    <n v="6"/>
    <n v="0"/>
    <s v="Facebook"/>
    <n v="8"/>
  </r>
  <r>
    <s v="U447"/>
    <n v="37"/>
    <x v="3"/>
    <s v="Female"/>
    <n v="7.7"/>
    <n v="4"/>
    <n v="8"/>
    <n v="5"/>
    <n v="2"/>
    <s v="LinkedIn"/>
    <n v="8"/>
  </r>
  <r>
    <s v="U448"/>
    <n v="32"/>
    <x v="4"/>
    <s v="Male"/>
    <n v="8.4"/>
    <n v="5"/>
    <n v="9"/>
    <n v="4"/>
    <n v="1"/>
    <s v="X (Twitter)"/>
    <n v="7"/>
  </r>
  <r>
    <s v="U449"/>
    <n v="22"/>
    <x v="2"/>
    <s v="Male"/>
    <n v="2.7"/>
    <n v="6"/>
    <n v="6"/>
    <n v="1"/>
    <n v="3"/>
    <s v="LinkedIn"/>
    <n v="8"/>
  </r>
  <r>
    <s v="U450"/>
    <n v="40"/>
    <x v="3"/>
    <s v="Male"/>
    <n v="6"/>
    <n v="4"/>
    <n v="6"/>
    <n v="9"/>
    <n v="3"/>
    <s v="LinkedIn"/>
    <n v="8"/>
  </r>
  <r>
    <s v="U451"/>
    <n v="19"/>
    <x v="5"/>
    <s v="Female"/>
    <n v="8.1"/>
    <n v="5"/>
    <n v="9"/>
    <n v="1"/>
    <n v="5"/>
    <s v="X (Twitter)"/>
    <n v="7"/>
  </r>
  <r>
    <s v="U452"/>
    <n v="21"/>
    <x v="2"/>
    <s v="Female"/>
    <n v="2.5"/>
    <n v="9"/>
    <n v="3"/>
    <n v="2"/>
    <n v="5"/>
    <s v="TikTok"/>
    <n v="10"/>
  </r>
  <r>
    <s v="U453"/>
    <n v="46"/>
    <x v="6"/>
    <s v="Female"/>
    <n v="6.1"/>
    <n v="6"/>
    <n v="8"/>
    <n v="0"/>
    <n v="1"/>
    <s v="X (Twitter)"/>
    <n v="6"/>
  </r>
  <r>
    <s v="U454"/>
    <n v="34"/>
    <x v="4"/>
    <s v="Female"/>
    <n v="5.5"/>
    <n v="6"/>
    <n v="5"/>
    <n v="4"/>
    <n v="3"/>
    <s v="Facebook"/>
    <n v="10"/>
  </r>
  <r>
    <s v="U455"/>
    <n v="42"/>
    <x v="0"/>
    <s v="Female"/>
    <n v="6.2"/>
    <n v="6"/>
    <n v="6"/>
    <n v="3"/>
    <n v="3"/>
    <s v="LinkedIn"/>
    <n v="6"/>
  </r>
  <r>
    <s v="U456"/>
    <n v="25"/>
    <x v="2"/>
    <s v="Male"/>
    <n v="4.0999999999999996"/>
    <n v="6"/>
    <n v="5"/>
    <n v="5"/>
    <n v="1"/>
    <s v="X (Twitter)"/>
    <n v="9"/>
  </r>
  <r>
    <s v="U457"/>
    <n v="41"/>
    <x v="0"/>
    <s v="Female"/>
    <n v="2.9"/>
    <n v="8"/>
    <n v="3"/>
    <n v="0"/>
    <n v="3"/>
    <s v="LinkedIn"/>
    <n v="10"/>
  </r>
  <r>
    <s v="U458"/>
    <n v="34"/>
    <x v="4"/>
    <s v="Male"/>
    <n v="2.1"/>
    <n v="9"/>
    <n v="4"/>
    <n v="5"/>
    <n v="2"/>
    <s v="Facebook"/>
    <n v="10"/>
  </r>
  <r>
    <s v="U459"/>
    <n v="18"/>
    <x v="5"/>
    <s v="Male"/>
    <n v="7.3"/>
    <n v="5"/>
    <n v="8"/>
    <n v="1"/>
    <n v="1"/>
    <s v="YouTube"/>
    <n v="7"/>
  </r>
  <r>
    <s v="U460"/>
    <n v="28"/>
    <x v="1"/>
    <s v="Female"/>
    <n v="7.5"/>
    <n v="6"/>
    <n v="8"/>
    <n v="3"/>
    <n v="2"/>
    <s v="Facebook"/>
    <n v="6"/>
  </r>
  <r>
    <s v="U461"/>
    <n v="43"/>
    <x v="0"/>
    <s v="Male"/>
    <n v="6"/>
    <n v="6"/>
    <n v="5"/>
    <n v="5"/>
    <n v="1"/>
    <s v="Instagram"/>
    <n v="9"/>
  </r>
  <r>
    <s v="U462"/>
    <n v="35"/>
    <x v="4"/>
    <s v="Male"/>
    <n v="4.5"/>
    <n v="7"/>
    <n v="8"/>
    <n v="4"/>
    <n v="4"/>
    <s v="Instagram"/>
    <n v="8"/>
  </r>
  <r>
    <s v="U463"/>
    <n v="43"/>
    <x v="0"/>
    <s v="Female"/>
    <n v="2.6"/>
    <n v="9"/>
    <n v="5"/>
    <n v="4"/>
    <n v="5"/>
    <s v="Instagram"/>
    <n v="10"/>
  </r>
  <r>
    <s v="U464"/>
    <n v="23"/>
    <x v="2"/>
    <s v="Male"/>
    <n v="6.5"/>
    <n v="5"/>
    <n v="10"/>
    <n v="5"/>
    <n v="3"/>
    <s v="LinkedIn"/>
    <n v="5"/>
  </r>
  <r>
    <s v="U465"/>
    <n v="16"/>
    <x v="5"/>
    <s v="Female"/>
    <n v="3.5"/>
    <n v="8"/>
    <n v="5"/>
    <n v="4"/>
    <n v="3"/>
    <s v="TikTok"/>
    <n v="10"/>
  </r>
  <r>
    <s v="U466"/>
    <n v="18"/>
    <x v="5"/>
    <s v="Male"/>
    <n v="4.2"/>
    <n v="7"/>
    <n v="7"/>
    <n v="2"/>
    <n v="3"/>
    <s v="TikTok"/>
    <n v="10"/>
  </r>
  <r>
    <s v="U467"/>
    <n v="28"/>
    <x v="1"/>
    <s v="Male"/>
    <n v="4.4000000000000004"/>
    <n v="7"/>
    <n v="7"/>
    <n v="3"/>
    <n v="4"/>
    <s v="TikTok"/>
    <n v="8"/>
  </r>
  <r>
    <s v="U468"/>
    <n v="43"/>
    <x v="0"/>
    <s v="Male"/>
    <n v="5.0999999999999996"/>
    <n v="6"/>
    <n v="6"/>
    <n v="3"/>
    <n v="4"/>
    <s v="LinkedIn"/>
    <n v="9"/>
  </r>
  <r>
    <s v="U469"/>
    <n v="40"/>
    <x v="3"/>
    <s v="Male"/>
    <n v="4.0999999999999996"/>
    <n v="6"/>
    <n v="7"/>
    <n v="1"/>
    <n v="2"/>
    <s v="Facebook"/>
    <n v="10"/>
  </r>
  <r>
    <s v="U470"/>
    <n v="48"/>
    <x v="6"/>
    <s v="Female"/>
    <n v="5.6"/>
    <n v="6"/>
    <n v="6"/>
    <n v="5"/>
    <n v="3"/>
    <s v="TikTok"/>
    <n v="8"/>
  </r>
  <r>
    <s v="U471"/>
    <n v="21"/>
    <x v="2"/>
    <s v="Male"/>
    <n v="4.4000000000000004"/>
    <n v="5"/>
    <n v="6"/>
    <n v="4"/>
    <n v="3"/>
    <s v="YouTube"/>
    <n v="7"/>
  </r>
  <r>
    <s v="U472"/>
    <n v="47"/>
    <x v="6"/>
    <s v="Female"/>
    <n v="6.8"/>
    <n v="5"/>
    <n v="4"/>
    <n v="3"/>
    <n v="1"/>
    <s v="Instagram"/>
    <n v="10"/>
  </r>
  <r>
    <s v="U473"/>
    <n v="36"/>
    <x v="3"/>
    <s v="Female"/>
    <n v="7.4"/>
    <n v="3"/>
    <n v="8"/>
    <n v="5"/>
    <n v="4"/>
    <s v="Facebook"/>
    <n v="5"/>
  </r>
  <r>
    <s v="U474"/>
    <n v="31"/>
    <x v="4"/>
    <s v="Female"/>
    <n v="5.7"/>
    <n v="7"/>
    <n v="5"/>
    <n v="3"/>
    <n v="5"/>
    <s v="Instagram"/>
    <n v="10"/>
  </r>
  <r>
    <s v="U475"/>
    <n v="36"/>
    <x v="3"/>
    <s v="Female"/>
    <n v="6.3"/>
    <n v="7"/>
    <n v="7"/>
    <n v="3"/>
    <n v="4"/>
    <s v="TikTok"/>
    <n v="8"/>
  </r>
  <r>
    <s v="U476"/>
    <n v="26"/>
    <x v="1"/>
    <s v="Female"/>
    <n v="9.3000000000000007"/>
    <n v="3"/>
    <n v="8"/>
    <n v="2"/>
    <n v="1"/>
    <s v="Facebook"/>
    <n v="6"/>
  </r>
  <r>
    <s v="U477"/>
    <n v="34"/>
    <x v="4"/>
    <s v="Male"/>
    <n v="3.4"/>
    <n v="8"/>
    <n v="5"/>
    <n v="4"/>
    <n v="0"/>
    <s v="X (Twitter)"/>
    <n v="10"/>
  </r>
  <r>
    <s v="U478"/>
    <n v="35"/>
    <x v="4"/>
    <s v="Male"/>
    <n v="3.3"/>
    <n v="9"/>
    <n v="6"/>
    <n v="4"/>
    <n v="4"/>
    <s v="YouTube"/>
    <n v="10"/>
  </r>
  <r>
    <s v="U479"/>
    <n v="33"/>
    <x v="4"/>
    <s v="Male"/>
    <n v="6.8"/>
    <n v="6"/>
    <n v="8"/>
    <n v="2"/>
    <n v="1"/>
    <s v="TikTok"/>
    <n v="9"/>
  </r>
  <r>
    <s v="U480"/>
    <n v="29"/>
    <x v="1"/>
    <s v="Female"/>
    <n v="9"/>
    <n v="4"/>
    <n v="10"/>
    <n v="3"/>
    <n v="3"/>
    <s v="TikTok"/>
    <n v="4"/>
  </r>
  <r>
    <s v="U481"/>
    <n v="30"/>
    <x v="1"/>
    <s v="Male"/>
    <n v="5"/>
    <n v="7"/>
    <n v="8"/>
    <n v="2"/>
    <n v="5"/>
    <s v="YouTube"/>
    <n v="7"/>
  </r>
  <r>
    <s v="U482"/>
    <n v="46"/>
    <x v="6"/>
    <s v="Female"/>
    <n v="8.6"/>
    <n v="4"/>
    <n v="8"/>
    <n v="2"/>
    <n v="2"/>
    <s v="YouTube"/>
    <n v="4"/>
  </r>
  <r>
    <s v="U483"/>
    <n v="16"/>
    <x v="5"/>
    <s v="Female"/>
    <n v="5.7"/>
    <n v="6"/>
    <n v="6"/>
    <n v="0"/>
    <n v="2"/>
    <s v="X (Twitter)"/>
    <n v="8"/>
  </r>
  <r>
    <s v="U484"/>
    <n v="18"/>
    <x v="5"/>
    <s v="Male"/>
    <n v="4.3"/>
    <n v="7"/>
    <n v="7"/>
    <n v="3"/>
    <n v="3"/>
    <s v="TikTok"/>
    <n v="10"/>
  </r>
  <r>
    <s v="U485"/>
    <n v="31"/>
    <x v="4"/>
    <s v="Female"/>
    <n v="3.7"/>
    <n v="7"/>
    <n v="7"/>
    <n v="0"/>
    <n v="1"/>
    <s v="LinkedIn"/>
    <n v="9"/>
  </r>
  <r>
    <s v="U486"/>
    <n v="38"/>
    <x v="3"/>
    <s v="Male"/>
    <n v="6.6"/>
    <n v="6"/>
    <n v="8"/>
    <n v="2"/>
    <n v="1"/>
    <s v="TikTok"/>
    <n v="7"/>
  </r>
  <r>
    <s v="U487"/>
    <n v="26"/>
    <x v="1"/>
    <s v="Male"/>
    <n v="3.9"/>
    <n v="8"/>
    <n v="5"/>
    <n v="2"/>
    <n v="3"/>
    <s v="Instagram"/>
    <n v="10"/>
  </r>
  <r>
    <s v="U488"/>
    <n v="27"/>
    <x v="1"/>
    <s v="Female"/>
    <n v="5.6"/>
    <n v="7"/>
    <n v="7"/>
    <n v="5"/>
    <n v="2"/>
    <s v="Facebook"/>
    <n v="8"/>
  </r>
  <r>
    <s v="U489"/>
    <n v="25"/>
    <x v="2"/>
    <s v="Female"/>
    <n v="8.4"/>
    <n v="5"/>
    <n v="9"/>
    <n v="1"/>
    <n v="3"/>
    <s v="Facebook"/>
    <n v="7"/>
  </r>
  <r>
    <s v="U490"/>
    <n v="47"/>
    <x v="6"/>
    <s v="Female"/>
    <n v="4.9000000000000004"/>
    <n v="7"/>
    <n v="7"/>
    <n v="1"/>
    <n v="7"/>
    <s v="Instagram"/>
    <n v="10"/>
  </r>
  <r>
    <s v="U491"/>
    <n v="31"/>
    <x v="4"/>
    <s v="Male"/>
    <n v="7.9"/>
    <n v="5"/>
    <n v="8"/>
    <n v="2"/>
    <n v="3"/>
    <s v="Facebook"/>
    <n v="6"/>
  </r>
  <r>
    <s v="U492"/>
    <n v="23"/>
    <x v="2"/>
    <s v="Male"/>
    <n v="3.3"/>
    <n v="10"/>
    <n v="4"/>
    <n v="2"/>
    <n v="1"/>
    <s v="YouTube"/>
    <n v="10"/>
  </r>
  <r>
    <s v="U493"/>
    <n v="27"/>
    <x v="1"/>
    <s v="Female"/>
    <n v="4.5"/>
    <n v="5"/>
    <n v="7"/>
    <n v="6"/>
    <n v="5"/>
    <s v="Facebook"/>
    <n v="9"/>
  </r>
  <r>
    <s v="U494"/>
    <n v="39"/>
    <x v="3"/>
    <s v="Female"/>
    <n v="3"/>
    <n v="7"/>
    <n v="2"/>
    <n v="1"/>
    <n v="0"/>
    <s v="Facebook"/>
    <n v="10"/>
  </r>
  <r>
    <s v="U495"/>
    <n v="43"/>
    <x v="0"/>
    <s v="Female"/>
    <n v="5.6"/>
    <n v="8"/>
    <n v="6"/>
    <n v="2"/>
    <n v="0"/>
    <s v="Instagram"/>
    <n v="10"/>
  </r>
  <r>
    <s v="U496"/>
    <n v="23"/>
    <x v="2"/>
    <s v="Male"/>
    <n v="6.9"/>
    <n v="5"/>
    <n v="7"/>
    <n v="4"/>
    <n v="2"/>
    <s v="X (Twitter)"/>
    <n v="10"/>
  </r>
  <r>
    <s v="U497"/>
    <n v="43"/>
    <x v="0"/>
    <s v="Female"/>
    <n v="5.6"/>
    <n v="7"/>
    <n v="6"/>
    <n v="5"/>
    <n v="2"/>
    <s v="Facebook"/>
    <n v="9"/>
  </r>
  <r>
    <s v="U498"/>
    <n v="41"/>
    <x v="0"/>
    <s v="Male"/>
    <n v="7.7"/>
    <n v="5"/>
    <n v="7"/>
    <n v="2"/>
    <n v="2"/>
    <s v="LinkedIn"/>
    <n v="8"/>
  </r>
  <r>
    <s v="U499"/>
    <n v="23"/>
    <x v="2"/>
    <s v="Male"/>
    <n v="4.2"/>
    <n v="9"/>
    <n v="7"/>
    <n v="0"/>
    <n v="2"/>
    <s v="Facebook"/>
    <n v="9"/>
  </r>
  <r>
    <s v="U500"/>
    <n v="43"/>
    <x v="0"/>
    <s v="Female"/>
    <n v="5.9"/>
    <n v="5"/>
    <n v="8"/>
    <n v="3"/>
    <n v="3"/>
    <s v="X (Twitter)"/>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D31D6-CF4B-44D1-8643-8D93CBA53C3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9" firstHeaderRow="0" firstDataRow="1" firstDataCol="1"/>
  <pivotFields count="11">
    <pivotField showAll="0"/>
    <pivotField showAll="0"/>
    <pivotField axis="axisRow" showAll="0">
      <items count="8">
        <item x="5"/>
        <item x="2"/>
        <item x="1"/>
        <item x="4"/>
        <item x="3"/>
        <item x="0"/>
        <item x="6"/>
        <item t="default"/>
      </items>
    </pivotField>
    <pivotField showAll="0"/>
    <pivotField showAll="0"/>
    <pivotField dataField="1" showAll="0"/>
    <pivotField dataField="1" showAll="0"/>
    <pivotField showAll="0"/>
    <pivotField showAll="0"/>
    <pivotField showAll="0"/>
    <pivotField dataField="1" showAll="0"/>
  </pivotFields>
  <rowFields count="1">
    <field x="2"/>
  </rowFields>
  <rowItems count="8">
    <i>
      <x/>
    </i>
    <i>
      <x v="1"/>
    </i>
    <i>
      <x v="2"/>
    </i>
    <i>
      <x v="3"/>
    </i>
    <i>
      <x v="4"/>
    </i>
    <i>
      <x v="5"/>
    </i>
    <i>
      <x v="6"/>
    </i>
    <i t="grand">
      <x/>
    </i>
  </rowItems>
  <colFields count="1">
    <field x="-2"/>
  </colFields>
  <colItems count="3">
    <i>
      <x/>
    </i>
    <i i="1">
      <x v="1"/>
    </i>
    <i i="2">
      <x v="2"/>
    </i>
  </colItems>
  <dataFields count="3">
    <dataField name=" Sleep_Quality" fld="5" baseField="2" baseItem="0"/>
    <dataField name="Happiness_Index" fld="10" baseField="0" baseItem="0"/>
    <dataField name="Stress_Level" fld="6" baseField="0" baseItem="0"/>
  </dataFields>
  <chartFormats count="1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B834FD-B2FD-4679-9E5E-54483AC4DFBD}"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0">
    <pivotField showAll="0"/>
    <pivotField showAll="0"/>
    <pivotField showAll="0"/>
    <pivotField dataField="1" showAll="0"/>
    <pivotField dataField="1" showAll="0"/>
    <pivotField dataField="1" showAll="0"/>
    <pivotField showAll="0"/>
    <pivotField showAll="0"/>
    <pivotField showAll="0"/>
    <pivotField dataField="1" showAll="0"/>
  </pivotFields>
  <rowFields count="1">
    <field x="-2"/>
  </rowFields>
  <rowItems count="4">
    <i>
      <x/>
    </i>
    <i i="1">
      <x v="1"/>
    </i>
    <i i="2">
      <x v="2"/>
    </i>
    <i i="3">
      <x v="3"/>
    </i>
  </rowItems>
  <colItems count="1">
    <i/>
  </colItems>
  <dataFields count="4">
    <dataField name="Average of Sleep_Quality(1-10)" fld="4" subtotal="average" baseField="0" baseItem="0"/>
    <dataField name="Average of Daily_Screen_Time(hrs)" fld="3" subtotal="average" baseField="0" baseItem="0"/>
    <dataField name="Average of Happiness_Index(1-10)" fld="9" subtotal="average" baseField="0" baseItem="0"/>
    <dataField name="Average of Stress_Level(1-10)"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7A79B7-556D-47ED-B073-EC7B9DF9626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D45" firstHeaderRow="0" firstDataRow="1" firstDataCol="1"/>
  <pivotFields count="10">
    <pivotField showAll="0"/>
    <pivotField axis="axisRow" showAll="0">
      <items count="35">
        <item x="30"/>
        <item x="10"/>
        <item x="8"/>
        <item x="21"/>
        <item x="31"/>
        <item x="26"/>
        <item x="18"/>
        <item x="2"/>
        <item x="19"/>
        <item x="28"/>
        <item x="6"/>
        <item x="13"/>
        <item x="32"/>
        <item x="22"/>
        <item x="1"/>
        <item x="17"/>
        <item x="25"/>
        <item x="20"/>
        <item x="4"/>
        <item x="24"/>
        <item x="3"/>
        <item x="9"/>
        <item x="5"/>
        <item x="7"/>
        <item x="14"/>
        <item x="23"/>
        <item x="15"/>
        <item x="16"/>
        <item x="0"/>
        <item x="11"/>
        <item x="29"/>
        <item x="33"/>
        <item x="12"/>
        <item x="27"/>
        <item t="default"/>
      </items>
    </pivotField>
    <pivotField showAll="0">
      <items count="4">
        <item x="2"/>
        <item x="0"/>
        <item x="1"/>
        <item t="default"/>
      </items>
    </pivotField>
    <pivotField showAll="0">
      <items count="83">
        <item x="25"/>
        <item x="75"/>
        <item x="76"/>
        <item x="61"/>
        <item x="18"/>
        <item x="72"/>
        <item x="59"/>
        <item x="29"/>
        <item x="48"/>
        <item x="28"/>
        <item x="64"/>
        <item x="41"/>
        <item x="8"/>
        <item x="58"/>
        <item x="13"/>
        <item x="0"/>
        <item x="49"/>
        <item x="34"/>
        <item x="45"/>
        <item x="53"/>
        <item x="15"/>
        <item x="33"/>
        <item x="50"/>
        <item x="30"/>
        <item x="37"/>
        <item x="32"/>
        <item x="46"/>
        <item x="19"/>
        <item x="42"/>
        <item x="66"/>
        <item x="24"/>
        <item x="7"/>
        <item x="44"/>
        <item x="63"/>
        <item x="16"/>
        <item x="1"/>
        <item x="36"/>
        <item x="60"/>
        <item x="9"/>
        <item x="51"/>
        <item x="22"/>
        <item x="3"/>
        <item x="47"/>
        <item x="54"/>
        <item x="20"/>
        <item x="27"/>
        <item x="17"/>
        <item x="10"/>
        <item x="14"/>
        <item x="43"/>
        <item x="5"/>
        <item x="35"/>
        <item x="21"/>
        <item x="31"/>
        <item x="4"/>
        <item x="12"/>
        <item x="26"/>
        <item x="55"/>
        <item x="2"/>
        <item x="11"/>
        <item x="39"/>
        <item x="23"/>
        <item x="6"/>
        <item x="52"/>
        <item x="74"/>
        <item x="77"/>
        <item x="57"/>
        <item x="56"/>
        <item x="40"/>
        <item x="62"/>
        <item x="81"/>
        <item x="68"/>
        <item x="69"/>
        <item x="80"/>
        <item x="73"/>
        <item x="79"/>
        <item x="70"/>
        <item x="78"/>
        <item x="38"/>
        <item x="67"/>
        <item x="65"/>
        <item x="71"/>
        <item t="default"/>
      </items>
    </pivotField>
    <pivotField dataField="1" showAll="0">
      <items count="10">
        <item x="8"/>
        <item x="6"/>
        <item x="2"/>
        <item x="3"/>
        <item x="1"/>
        <item x="0"/>
        <item x="4"/>
        <item x="5"/>
        <item x="7"/>
        <item t="default"/>
      </items>
    </pivotField>
    <pivotField dataField="1" showAll="0">
      <items count="10">
        <item x="8"/>
        <item x="6"/>
        <item x="4"/>
        <item x="5"/>
        <item x="0"/>
        <item x="2"/>
        <item x="1"/>
        <item x="7"/>
        <item x="3"/>
        <item t="default"/>
      </items>
    </pivotField>
    <pivotField showAll="0">
      <items count="10">
        <item x="5"/>
        <item x="2"/>
        <item x="0"/>
        <item x="6"/>
        <item x="3"/>
        <item x="1"/>
        <item x="4"/>
        <item x="7"/>
        <item x="8"/>
        <item t="default"/>
      </items>
    </pivotField>
    <pivotField showAll="0">
      <items count="9">
        <item x="3"/>
        <item x="2"/>
        <item x="5"/>
        <item x="1"/>
        <item x="4"/>
        <item x="0"/>
        <item x="7"/>
        <item x="6"/>
        <item t="default"/>
      </items>
    </pivotField>
    <pivotField showAll="0">
      <items count="7">
        <item x="0"/>
        <item x="5"/>
        <item x="1"/>
        <item x="3"/>
        <item x="4"/>
        <item x="2"/>
        <item t="default"/>
      </items>
    </pivotField>
    <pivotField dataField="1" showAll="0">
      <items count="8">
        <item x="5"/>
        <item x="6"/>
        <item x="1"/>
        <item x="3"/>
        <item x="2"/>
        <item x="4"/>
        <item x="0"/>
        <item t="default"/>
      </items>
    </pivotField>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3">
    <i>
      <x/>
    </i>
    <i i="1">
      <x v="1"/>
    </i>
    <i i="2">
      <x v="2"/>
    </i>
  </colItems>
  <dataFields count="3">
    <dataField name="Sum of Sleep_Quality(1-10)" fld="4" baseField="0" baseItem="0"/>
    <dataField name="Sum of Happiness_Index(1-10)" fld="9" baseField="0" baseItem="0"/>
    <dataField name="Sum of Stress_Level(1-10)" fld="5" baseField="0" baseItem="0"/>
  </dataFields>
  <chartFormats count="6">
    <chartFormat chart="4" format="5"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2"/>
          </reference>
        </references>
      </pivotArea>
    </chartFormat>
    <chartFormat chart="9" format="14"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1"/>
          </reference>
        </references>
      </pivotArea>
    </chartFormat>
    <chartFormat chart="9"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51712A-657C-4F0F-9433-7084BE33061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10">
    <pivotField showAll="0"/>
    <pivotField showAll="0"/>
    <pivotField showAll="0">
      <items count="4">
        <item x="2"/>
        <item x="0"/>
        <item x="1"/>
        <item t="default"/>
      </items>
    </pivotField>
    <pivotField showAll="0"/>
    <pivotField showAll="0">
      <items count="10">
        <item x="8"/>
        <item x="6"/>
        <item x="2"/>
        <item x="3"/>
        <item x="1"/>
        <item x="0"/>
        <item x="4"/>
        <item x="5"/>
        <item x="7"/>
        <item t="default"/>
      </items>
    </pivotField>
    <pivotField showAll="0">
      <items count="10">
        <item x="8"/>
        <item x="6"/>
        <item x="4"/>
        <item x="5"/>
        <item x="0"/>
        <item x="2"/>
        <item x="1"/>
        <item x="7"/>
        <item x="3"/>
        <item t="default"/>
      </items>
    </pivotField>
    <pivotField showAll="0"/>
    <pivotField showAll="0">
      <items count="9">
        <item x="3"/>
        <item x="2"/>
        <item x="5"/>
        <item x="1"/>
        <item x="4"/>
        <item x="0"/>
        <item x="7"/>
        <item x="6"/>
        <item t="default"/>
      </items>
    </pivotField>
    <pivotField axis="axisRow" showAll="0" sortType="ascending">
      <items count="7">
        <item x="2"/>
        <item x="4"/>
        <item x="3"/>
        <item x="1"/>
        <item x="5"/>
        <item x="0"/>
        <item t="default"/>
      </items>
      <autoSortScope>
        <pivotArea dataOnly="0" outline="0" fieldPosition="0">
          <references count="1">
            <reference field="4294967294" count="1" selected="0">
              <x v="0"/>
            </reference>
          </references>
        </pivotArea>
      </autoSortScope>
    </pivotField>
    <pivotField dataField="1" showAll="0">
      <items count="8">
        <item x="5"/>
        <item x="6"/>
        <item x="1"/>
        <item x="3"/>
        <item x="2"/>
        <item x="4"/>
        <item x="0"/>
        <item t="default"/>
      </items>
    </pivotField>
  </pivotFields>
  <rowFields count="1">
    <field x="8"/>
  </rowFields>
  <rowItems count="7">
    <i>
      <x v="4"/>
    </i>
    <i>
      <x/>
    </i>
    <i>
      <x v="5"/>
    </i>
    <i>
      <x v="3"/>
    </i>
    <i>
      <x v="1"/>
    </i>
    <i>
      <x v="2"/>
    </i>
    <i t="grand">
      <x/>
    </i>
  </rowItems>
  <colItems count="1">
    <i/>
  </colItems>
  <dataFields count="1">
    <dataField name="Sum of Happiness_Index(1-10)" fld="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01ED0A-F9A9-4513-B2B0-D0006EE4709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ys without Social Media" colHeaderCaption="Days without Social Media">
  <location ref="A2:C12" firstHeaderRow="0" firstDataRow="1" firstDataCol="1"/>
  <pivotFields count="10">
    <pivotField showAll="0"/>
    <pivotField showAll="0"/>
    <pivotField showAll="0">
      <items count="4">
        <item x="2"/>
        <item x="0"/>
        <item x="1"/>
        <item t="default"/>
      </items>
    </pivotField>
    <pivotField showAll="0"/>
    <pivotField dataField="1" showAll="0">
      <items count="10">
        <item x="8"/>
        <item x="6"/>
        <item x="2"/>
        <item x="3"/>
        <item x="1"/>
        <item x="0"/>
        <item x="4"/>
        <item x="5"/>
        <item x="7"/>
        <item t="default"/>
      </items>
    </pivotField>
    <pivotField dataField="1" showAll="0">
      <items count="10">
        <item x="8"/>
        <item x="6"/>
        <item x="4"/>
        <item x="5"/>
        <item x="0"/>
        <item x="2"/>
        <item x="1"/>
        <item x="7"/>
        <item x="3"/>
        <item t="default"/>
      </items>
    </pivotField>
    <pivotField axis="axisRow" showAll="0">
      <items count="10">
        <item x="5"/>
        <item x="2"/>
        <item x="0"/>
        <item x="6"/>
        <item x="3"/>
        <item x="1"/>
        <item x="4"/>
        <item x="7"/>
        <item x="8"/>
        <item t="default"/>
      </items>
    </pivotField>
    <pivotField showAll="0">
      <items count="9">
        <item x="3"/>
        <item x="2"/>
        <item x="5"/>
        <item x="1"/>
        <item x="4"/>
        <item x="0"/>
        <item x="7"/>
        <item x="6"/>
        <item t="default"/>
      </items>
    </pivotField>
    <pivotField showAll="0">
      <items count="7">
        <item x="0"/>
        <item x="5"/>
        <item x="1"/>
        <item x="3"/>
        <item x="4"/>
        <item x="2"/>
        <item t="default"/>
      </items>
    </pivotField>
    <pivotField showAll="0">
      <items count="8">
        <item x="5"/>
        <item x="6"/>
        <item x="1"/>
        <item x="3"/>
        <item x="2"/>
        <item x="4"/>
        <item x="0"/>
        <item t="default"/>
      </items>
    </pivotField>
  </pivotFields>
  <rowFields count="1">
    <field x="6"/>
  </rowFields>
  <rowItems count="10">
    <i>
      <x/>
    </i>
    <i>
      <x v="1"/>
    </i>
    <i>
      <x v="2"/>
    </i>
    <i>
      <x v="3"/>
    </i>
    <i>
      <x v="4"/>
    </i>
    <i>
      <x v="5"/>
    </i>
    <i>
      <x v="6"/>
    </i>
    <i>
      <x v="7"/>
    </i>
    <i>
      <x v="8"/>
    </i>
    <i t="grand">
      <x/>
    </i>
  </rowItems>
  <colFields count="1">
    <field x="-2"/>
  </colFields>
  <colItems count="2">
    <i>
      <x/>
    </i>
    <i i="1">
      <x v="1"/>
    </i>
  </colItems>
  <dataFields count="2">
    <dataField name="Sum of Stress Level" fld="5" baseField="0" baseItem="0"/>
    <dataField name="Sum of Sleep Quality"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6CF371-EB42-4FF3-8A72-E072727ECA1B}"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C11" firstHeaderRow="0" firstDataRow="1" firstDataCol="1"/>
  <pivotFields count="10">
    <pivotField showAll="0"/>
    <pivotField showAll="0"/>
    <pivotField showAll="0">
      <items count="4">
        <item x="2"/>
        <item x="0"/>
        <item x="1"/>
        <item t="default"/>
      </items>
    </pivotField>
    <pivotField showAll="0"/>
    <pivotField showAll="0">
      <items count="10">
        <item x="8"/>
        <item x="6"/>
        <item x="2"/>
        <item x="3"/>
        <item x="1"/>
        <item x="0"/>
        <item x="4"/>
        <item x="5"/>
        <item x="7"/>
        <item t="default"/>
      </items>
    </pivotField>
    <pivotField dataField="1" showAll="0">
      <items count="10">
        <item x="8"/>
        <item x="6"/>
        <item x="4"/>
        <item x="5"/>
        <item x="0"/>
        <item x="2"/>
        <item x="1"/>
        <item x="7"/>
        <item x="3"/>
        <item t="default"/>
      </items>
    </pivotField>
    <pivotField showAll="0"/>
    <pivotField axis="axisRow" showAll="0">
      <items count="9">
        <item x="3"/>
        <item x="2"/>
        <item x="5"/>
        <item x="1"/>
        <item x="4"/>
        <item x="0"/>
        <item x="7"/>
        <item x="6"/>
        <item t="default"/>
      </items>
    </pivotField>
    <pivotField showAll="0">
      <items count="7">
        <item x="0"/>
        <item x="5"/>
        <item x="1"/>
        <item x="3"/>
        <item x="4"/>
        <item x="2"/>
        <item t="default"/>
      </items>
    </pivotField>
    <pivotField dataField="1" showAll="0">
      <items count="8">
        <item x="5"/>
        <item x="6"/>
        <item x="1"/>
        <item x="3"/>
        <item x="2"/>
        <item x="4"/>
        <item x="0"/>
        <item t="default"/>
      </items>
    </pivotField>
  </pivotFields>
  <rowFields count="1">
    <field x="7"/>
  </rowFields>
  <rowItems count="9">
    <i>
      <x/>
    </i>
    <i>
      <x v="1"/>
    </i>
    <i>
      <x v="2"/>
    </i>
    <i>
      <x v="3"/>
    </i>
    <i>
      <x v="4"/>
    </i>
    <i>
      <x v="5"/>
    </i>
    <i>
      <x v="6"/>
    </i>
    <i>
      <x v="7"/>
    </i>
    <i t="grand">
      <x/>
    </i>
  </rowItems>
  <colFields count="1">
    <field x="-2"/>
  </colFields>
  <colItems count="2">
    <i>
      <x/>
    </i>
    <i i="1">
      <x v="1"/>
    </i>
  </colItems>
  <dataFields count="2">
    <dataField name="Stress Level" fld="5" baseField="0" baseItem="0"/>
    <dataField name="Happiness Index"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F227BD-761B-4620-B07D-DD5F5F92C2D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D6" firstHeaderRow="0" firstDataRow="1" firstDataCol="1"/>
  <pivotFields count="10">
    <pivotField showAll="0"/>
    <pivotField showAll="0">
      <items count="35">
        <item x="30"/>
        <item x="10"/>
        <item x="8"/>
        <item x="21"/>
        <item x="31"/>
        <item x="26"/>
        <item x="18"/>
        <item x="2"/>
        <item x="19"/>
        <item x="28"/>
        <item x="6"/>
        <item x="13"/>
        <item x="32"/>
        <item x="22"/>
        <item x="1"/>
        <item x="17"/>
        <item x="25"/>
        <item x="20"/>
        <item x="4"/>
        <item x="24"/>
        <item x="3"/>
        <item x="9"/>
        <item x="5"/>
        <item x="7"/>
        <item x="14"/>
        <item x="23"/>
        <item x="15"/>
        <item x="16"/>
        <item x="0"/>
        <item x="11"/>
        <item x="29"/>
        <item x="33"/>
        <item x="12"/>
        <item x="27"/>
        <item t="default"/>
      </items>
    </pivotField>
    <pivotField axis="axisRow" showAll="0">
      <items count="4">
        <item x="2"/>
        <item x="0"/>
        <item x="1"/>
        <item t="default"/>
      </items>
    </pivotField>
    <pivotField dataField="1" showAll="0"/>
    <pivotField showAll="0">
      <items count="10">
        <item x="8"/>
        <item x="6"/>
        <item x="2"/>
        <item x="3"/>
        <item x="1"/>
        <item x="0"/>
        <item x="4"/>
        <item x="5"/>
        <item x="7"/>
        <item t="default"/>
      </items>
    </pivotField>
    <pivotField dataField="1" showAll="0">
      <items count="10">
        <item x="8"/>
        <item x="6"/>
        <item x="4"/>
        <item x="5"/>
        <item x="0"/>
        <item x="2"/>
        <item x="1"/>
        <item x="7"/>
        <item x="3"/>
        <item t="default"/>
      </items>
    </pivotField>
    <pivotField showAll="0"/>
    <pivotField showAll="0">
      <items count="9">
        <item x="3"/>
        <item x="2"/>
        <item x="5"/>
        <item x="1"/>
        <item x="4"/>
        <item x="0"/>
        <item x="7"/>
        <item x="6"/>
        <item t="default"/>
      </items>
    </pivotField>
    <pivotField showAll="0">
      <items count="7">
        <item x="0"/>
        <item x="5"/>
        <item x="1"/>
        <item x="3"/>
        <item x="4"/>
        <item x="2"/>
        <item t="default"/>
      </items>
    </pivotField>
    <pivotField dataField="1" showAll="0">
      <items count="8">
        <item x="5"/>
        <item x="6"/>
        <item x="1"/>
        <item x="3"/>
        <item x="2"/>
        <item x="4"/>
        <item x="0"/>
        <item t="default"/>
      </items>
    </pivotField>
  </pivotFields>
  <rowFields count="1">
    <field x="2"/>
  </rowFields>
  <rowItems count="4">
    <i>
      <x/>
    </i>
    <i>
      <x v="1"/>
    </i>
    <i>
      <x v="2"/>
    </i>
    <i t="grand">
      <x/>
    </i>
  </rowItems>
  <colFields count="1">
    <field x="-2"/>
  </colFields>
  <colItems count="3">
    <i>
      <x/>
    </i>
    <i i="1">
      <x v="1"/>
    </i>
    <i i="2">
      <x v="2"/>
    </i>
  </colItems>
  <dataFields count="3">
    <dataField name="Daily Screen Time" fld="3" baseField="0" baseItem="0"/>
    <dataField name="Stress Level" fld="5" baseField="0" baseItem="0"/>
    <dataField name="Happiness_Index" fld="9" baseField="0" baseItem="0"/>
  </dataFields>
  <chartFormats count="9">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311F9E-3CC4-4B7B-9D3D-798AB1D742F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Gender" colHeaderCaption="Social Media Platforms">
  <location ref="A2:H7" firstHeaderRow="1" firstDataRow="2" firstDataCol="1"/>
  <pivotFields count="10">
    <pivotField showAll="0"/>
    <pivotField showAll="0"/>
    <pivotField axis="axisRow" showAll="0">
      <items count="4">
        <item x="2"/>
        <item x="0"/>
        <item x="1"/>
        <item t="default"/>
      </items>
    </pivotField>
    <pivotField showAll="0"/>
    <pivotField showAll="0">
      <items count="10">
        <item x="8"/>
        <item x="6"/>
        <item x="2"/>
        <item x="3"/>
        <item x="1"/>
        <item x="0"/>
        <item x="4"/>
        <item x="5"/>
        <item x="7"/>
        <item t="default"/>
      </items>
    </pivotField>
    <pivotField dataField="1" showAll="0">
      <items count="10">
        <item x="8"/>
        <item x="6"/>
        <item x="4"/>
        <item x="5"/>
        <item x="0"/>
        <item x="2"/>
        <item x="1"/>
        <item x="7"/>
        <item x="3"/>
        <item t="default"/>
      </items>
    </pivotField>
    <pivotField showAll="0"/>
    <pivotField showAll="0">
      <items count="9">
        <item x="3"/>
        <item x="2"/>
        <item x="5"/>
        <item x="1"/>
        <item x="4"/>
        <item x="0"/>
        <item x="7"/>
        <item x="6"/>
        <item t="default"/>
      </items>
    </pivotField>
    <pivotField axis="axisCol" showAll="0">
      <items count="7">
        <item x="0"/>
        <item x="5"/>
        <item x="1"/>
        <item x="3"/>
        <item x="4"/>
        <item x="2"/>
        <item t="default"/>
      </items>
    </pivotField>
    <pivotField showAll="0">
      <items count="8">
        <item x="5"/>
        <item x="6"/>
        <item x="1"/>
        <item x="3"/>
        <item x="2"/>
        <item x="4"/>
        <item x="0"/>
        <item t="default"/>
      </items>
    </pivotField>
  </pivotFields>
  <rowFields count="1">
    <field x="2"/>
  </rowFields>
  <rowItems count="4">
    <i>
      <x/>
    </i>
    <i>
      <x v="1"/>
    </i>
    <i>
      <x v="2"/>
    </i>
    <i t="grand">
      <x/>
    </i>
  </rowItems>
  <colFields count="1">
    <field x="8"/>
  </colFields>
  <colItems count="7">
    <i>
      <x/>
    </i>
    <i>
      <x v="1"/>
    </i>
    <i>
      <x v="2"/>
    </i>
    <i>
      <x v="3"/>
    </i>
    <i>
      <x v="4"/>
    </i>
    <i>
      <x v="5"/>
    </i>
    <i t="grand">
      <x/>
    </i>
  </colItems>
  <dataFields count="1">
    <dataField name="Sum of Stress Level" fld="5" baseField="0" baseItem="0"/>
  </dataFields>
  <chartFormats count="14">
    <chartFormat chart="15" format="0" series="1">
      <pivotArea type="data" outline="0" fieldPosition="0">
        <references count="2">
          <reference field="4294967294" count="1" selected="0">
            <x v="0"/>
          </reference>
          <reference field="8" count="1" selected="0">
            <x v="2"/>
          </reference>
        </references>
      </pivotArea>
    </chartFormat>
    <chartFormat chart="15" format="1" series="1">
      <pivotArea type="data" outline="0" fieldPosition="0">
        <references count="2">
          <reference field="4294967294" count="1" selected="0">
            <x v="0"/>
          </reference>
          <reference field="8" count="1" selected="0">
            <x v="3"/>
          </reference>
        </references>
      </pivotArea>
    </chartFormat>
    <chartFormat chart="15" format="2" series="1">
      <pivotArea type="data" outline="0" fieldPosition="0">
        <references count="2">
          <reference field="4294967294" count="1" selected="0">
            <x v="0"/>
          </reference>
          <reference field="8" count="1" selected="0">
            <x v="4"/>
          </reference>
        </references>
      </pivotArea>
    </chartFormat>
    <chartFormat chart="21" format="6" series="1">
      <pivotArea type="data" outline="0" fieldPosition="0">
        <references count="2">
          <reference field="4294967294" count="1" selected="0">
            <x v="0"/>
          </reference>
          <reference field="8" count="1" selected="0">
            <x v="2"/>
          </reference>
        </references>
      </pivotArea>
    </chartFormat>
    <chartFormat chart="21" format="7" series="1">
      <pivotArea type="data" outline="0" fieldPosition="0">
        <references count="2">
          <reference field="4294967294" count="1" selected="0">
            <x v="0"/>
          </reference>
          <reference field="8" count="1" selected="0">
            <x v="3"/>
          </reference>
        </references>
      </pivotArea>
    </chartFormat>
    <chartFormat chart="21" format="8" series="1">
      <pivotArea type="data" outline="0" fieldPosition="0">
        <references count="2">
          <reference field="4294967294" count="1" selected="0">
            <x v="0"/>
          </reference>
          <reference field="8" count="1" selected="0">
            <x v="4"/>
          </reference>
        </references>
      </pivotArea>
    </chartFormat>
    <chartFormat chart="21" format="9" series="1">
      <pivotArea type="data" outline="0" fieldPosition="0">
        <references count="2">
          <reference field="4294967294" count="1" selected="0">
            <x v="0"/>
          </reference>
          <reference field="8" count="1" selected="0">
            <x v="0"/>
          </reference>
        </references>
      </pivotArea>
    </chartFormat>
    <chartFormat chart="15" format="3" series="1">
      <pivotArea type="data" outline="0" fieldPosition="0">
        <references count="2">
          <reference field="4294967294" count="1" selected="0">
            <x v="0"/>
          </reference>
          <reference field="8" count="1" selected="0">
            <x v="0"/>
          </reference>
        </references>
      </pivotArea>
    </chartFormat>
    <chartFormat chart="21" format="1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11" series="1">
      <pivotArea type="data" outline="0" fieldPosition="0">
        <references count="2">
          <reference field="4294967294" count="1" selected="0">
            <x v="0"/>
          </reference>
          <reference field="8" count="1" selected="0">
            <x v="1"/>
          </reference>
        </references>
      </pivotArea>
    </chartFormat>
    <chartFormat chart="21" format="12" series="1">
      <pivotArea type="data" outline="0" fieldPosition="0">
        <references count="2">
          <reference field="4294967294" count="1" selected="0">
            <x v="0"/>
          </reference>
          <reference field="8" count="1" selected="0">
            <x v="5"/>
          </reference>
        </references>
      </pivotArea>
    </chartFormat>
    <chartFormat chart="15" format="5" series="1">
      <pivotArea type="data" outline="0" fieldPosition="0">
        <references count="2">
          <reference field="4294967294" count="1" selected="0">
            <x v="0"/>
          </reference>
          <reference field="8" count="1" selected="0">
            <x v="1"/>
          </reference>
        </references>
      </pivotArea>
    </chartFormat>
    <chartFormat chart="15" format="6"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FEEF24-E45A-40AB-BA5A-54E2E730ABD2}" sourceName="Gender">
  <pivotTables>
    <pivotTable tabId="2" name="PivotTable14"/>
    <pivotTable tabId="3" name="PivotTable9"/>
    <pivotTable tabId="4" name="PivotTable10"/>
    <pivotTable tabId="5" name="PivotTable11"/>
    <pivotTable tabId="6" name="PivotTable12"/>
    <pivotTable tabId="7" name="PivotTable13"/>
  </pivotTables>
  <data>
    <tabular pivotCacheId="72611489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Quality_1_10" xr10:uid="{C7527B0C-3FB2-4C5D-833C-10728FD70685}" sourceName="Sleep_Quality(1-10)">
  <pivotTables>
    <pivotTable tabId="2" name="PivotTable14"/>
    <pivotTable tabId="3" name="PivotTable9"/>
    <pivotTable tabId="4" name="PivotTable10"/>
    <pivotTable tabId="5" name="PivotTable11"/>
    <pivotTable tabId="6" name="PivotTable12"/>
    <pivotTable tabId="7" name="PivotTable13"/>
  </pivotTables>
  <data>
    <tabular pivotCacheId="726114893">
      <items count="9">
        <i x="8" s="1"/>
        <i x="6" s="1"/>
        <i x="2" s="1"/>
        <i x="3" s="1"/>
        <i x="1" s="1"/>
        <i x="0" s="1"/>
        <i x="4"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_1_10" xr10:uid="{CB47004C-6EA8-4F19-8F90-2A35B3E9886A}" sourceName="Stress_Level(1-10)">
  <pivotTables>
    <pivotTable tabId="2" name="PivotTable14"/>
    <pivotTable tabId="3" name="PivotTable9"/>
    <pivotTable tabId="4" name="PivotTable10"/>
    <pivotTable tabId="5" name="PivotTable11"/>
    <pivotTable tabId="6" name="PivotTable12"/>
    <pivotTable tabId="7" name="PivotTable13"/>
  </pivotTables>
  <data>
    <tabular pivotCacheId="726114893">
      <items count="9">
        <i x="8" s="1"/>
        <i x="6" s="1"/>
        <i x="4" s="1"/>
        <i x="5" s="1"/>
        <i x="0" s="1"/>
        <i x="2" s="1"/>
        <i x="1" s="1"/>
        <i x="7"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Frequency_week" xr10:uid="{28EC2144-AB6B-4565-A2EE-539A4839CC46}" sourceName="Exercise_Frequency(week)">
  <pivotTables>
    <pivotTable tabId="2" name="PivotTable14"/>
    <pivotTable tabId="3" name="PivotTable9"/>
    <pivotTable tabId="4" name="PivotTable10"/>
    <pivotTable tabId="5" name="PivotTable11"/>
    <pivotTable tabId="6" name="PivotTable12"/>
    <pivotTable tabId="7" name="PivotTable13"/>
  </pivotTables>
  <data>
    <tabular pivotCacheId="726114893">
      <items count="8">
        <i x="3" s="1"/>
        <i x="2" s="1"/>
        <i x="5" s="1"/>
        <i x="1" s="1"/>
        <i x="4" s="1"/>
        <i x="0" s="1"/>
        <i x="7"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Media_Platform" xr10:uid="{E6CC920C-760A-4F67-A38C-88AE75E1A4F8}" sourceName="Social_Media_Platform">
  <pivotTables>
    <pivotTable tabId="2" name="PivotTable14"/>
    <pivotTable tabId="3" name="PivotTable9"/>
    <pivotTable tabId="4" name="PivotTable10"/>
    <pivotTable tabId="5" name="PivotTable11"/>
    <pivotTable tabId="6" name="PivotTable12"/>
    <pivotTable tabId="7" name="PivotTable13"/>
  </pivotTables>
  <data>
    <tabular pivotCacheId="726114893">
      <items count="6">
        <i x="0" s="1"/>
        <i x="5" s="1"/>
        <i x="1" s="1"/>
        <i x="3" s="1"/>
        <i x="4"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ppiness_Index_1_10" xr10:uid="{6956BEFD-4BF7-44D2-9CBA-1AE4F09C1EF5}" sourceName="Happiness_Index(1-10)">
  <pivotTables>
    <pivotTable tabId="2" name="PivotTable14"/>
    <pivotTable tabId="3" name="PivotTable9"/>
    <pivotTable tabId="4" name="PivotTable10"/>
    <pivotTable tabId="5" name="PivotTable11"/>
    <pivotTable tabId="6" name="PivotTable12"/>
    <pivotTable tabId="7" name="PivotTable13"/>
  </pivotTables>
  <data>
    <tabular pivotCacheId="726114893">
      <items count="7">
        <i x="5" s="1"/>
        <i x="6" s="1"/>
        <i x="1"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BDAE192-258C-4081-AC83-347CE830FF2F}" cache="Slicer_Gender" caption="Gender" style="SlicerStyleDark5" rowHeight="251883"/>
  <slicer name="Sleep_Quality(1-10)" xr10:uid="{F4A4D70F-BEBC-48EB-AF3F-6F7878381481}" cache="Slicer_Sleep_Quality_1_10" caption="Sleep_Quality(1-10)" columnCount="3" style="SlicerStyleDark5" rowHeight="251883"/>
  <slicer name="Stress_Level(1-10)" xr10:uid="{5027972E-C5F8-47F9-8D88-D1ACAD4D4000}" cache="Slicer_Stress_Level_1_10" caption="Stress_Level(1-10)" columnCount="3" style="SlicerStyleDark5" rowHeight="251883"/>
  <slicer name="Exercise_Frequency(week)" xr10:uid="{27F6C1B6-C6DA-4AB4-A6D6-4D02921E5938}" cache="Slicer_Exercise_Frequency_week" caption="Exercise_Frequency(week)" columnCount="3" style="SlicerStyleDark5" rowHeight="251883"/>
  <slicer name="Social_Media_Platform" xr10:uid="{0CAAA0D8-E085-43B2-AE25-AB618D0CF390}" cache="Slicer_Social_Media_Platform" caption="Social_Media_Platform" columnCount="3" style="SlicerStyleDark5" rowHeight="251883"/>
  <slicer name="Happiness_Index(1-10)" xr10:uid="{767E273F-D72E-48DA-B3AD-393465430E0E}" cache="Slicer_Happiness_Index_1_10" caption="Happiness_Index(1-10)" columnCount="3" style="SlicerStyleDark5" rowHeight="251883"/>
</slicer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3023-AB0C-43F0-94A5-C52EA17B22A7}">
  <dimension ref="A1:AE43"/>
  <sheetViews>
    <sheetView showGridLines="0" tabSelected="1" topLeftCell="A2" zoomScale="45" zoomScaleNormal="45" workbookViewId="0">
      <selection activeCell="AH17" sqref="AH17"/>
    </sheetView>
  </sheetViews>
  <sheetFormatPr defaultRowHeight="14.5"/>
  <cols>
    <col min="1" max="1" width="1.81640625" style="5" customWidth="1"/>
    <col min="2" max="21" width="8.7265625" style="5"/>
    <col min="22" max="22" width="8.7265625" style="5" customWidth="1"/>
    <col min="23" max="16384" width="8.7265625" style="5"/>
  </cols>
  <sheetData>
    <row r="1" spans="1:31">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row>
    <row r="2" spans="1:31" ht="47.5">
      <c r="A2" s="6"/>
      <c r="B2" s="7" t="s">
        <v>0</v>
      </c>
      <c r="C2" s="6"/>
      <c r="D2" s="6"/>
      <c r="E2" s="6"/>
      <c r="F2" s="6"/>
      <c r="G2" s="6"/>
      <c r="H2" s="6"/>
      <c r="I2" s="6"/>
      <c r="J2" s="6"/>
      <c r="K2" s="6"/>
      <c r="L2" s="6"/>
      <c r="M2" s="6"/>
      <c r="N2" s="6"/>
      <c r="O2" s="6"/>
      <c r="P2" s="6"/>
      <c r="Q2" s="6"/>
      <c r="R2" s="6"/>
      <c r="S2" s="6"/>
      <c r="T2" s="6"/>
      <c r="U2" s="6"/>
      <c r="V2" s="6"/>
      <c r="W2" s="6"/>
      <c r="X2" s="6"/>
      <c r="Y2" s="6"/>
      <c r="Z2" s="6"/>
      <c r="AA2" s="6"/>
      <c r="AB2" s="6"/>
      <c r="AC2" s="6"/>
      <c r="AD2" s="6"/>
      <c r="AE2" s="6"/>
    </row>
    <row r="3" spans="1:31" ht="21">
      <c r="A3" s="8"/>
      <c r="B3" s="8" t="s">
        <v>1</v>
      </c>
      <c r="C3" s="6"/>
      <c r="D3" s="6"/>
      <c r="E3" s="6"/>
      <c r="F3" s="6"/>
      <c r="G3" s="6"/>
      <c r="H3" s="6"/>
      <c r="I3" s="6"/>
      <c r="J3" s="6"/>
      <c r="K3" s="6"/>
      <c r="L3" s="6"/>
      <c r="M3" s="6"/>
      <c r="N3" s="6"/>
      <c r="O3" s="6"/>
      <c r="P3" s="6"/>
      <c r="Q3" s="6"/>
      <c r="R3" s="6"/>
      <c r="S3" s="6"/>
      <c r="T3" s="6"/>
      <c r="U3" s="6"/>
      <c r="V3" s="6"/>
      <c r="W3" s="6"/>
      <c r="X3" s="6"/>
      <c r="Y3" s="6"/>
      <c r="Z3" s="6"/>
      <c r="AA3" s="6"/>
      <c r="AB3" s="6"/>
      <c r="AC3" s="6"/>
      <c r="AD3" s="6"/>
      <c r="AE3" s="6"/>
    </row>
    <row r="4" spans="1:31">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row>
    <row r="5" spans="1:3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row>
    <row r="6" spans="1:31">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row>
    <row r="8" spans="1:3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row>
    <row r="9" spans="1:31">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row>
    <row r="10" spans="1:3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spans="1:3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spans="1:3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spans="1:3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spans="1:3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spans="1:3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spans="1:3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spans="1:3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1:3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spans="1:31">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spans="1:31">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spans="1:3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spans="1:3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1:3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spans="1:3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spans="1:3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spans="1:3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spans="1:3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spans="1:3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spans="1: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spans="1:3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spans="1:3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spans="1:3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spans="1:3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spans="1:3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spans="1:3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spans="1:3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spans="1:3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spans="1:3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spans="1:3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1:3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spans="1:3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2EBB-6824-40C0-9452-B72825244B53}">
  <dimension ref="A1:L501"/>
  <sheetViews>
    <sheetView workbookViewId="0">
      <selection activeCell="E6" sqref="A1:K501"/>
    </sheetView>
  </sheetViews>
  <sheetFormatPr defaultRowHeight="14.5"/>
  <cols>
    <col min="1" max="1" width="7.26953125" bestFit="1" customWidth="1"/>
    <col min="2" max="2" width="3.81640625" bestFit="1" customWidth="1"/>
    <col min="3" max="3" width="9.36328125" bestFit="1" customWidth="1"/>
    <col min="4" max="4" width="6.90625" bestFit="1" customWidth="1"/>
    <col min="5" max="5" width="20.7265625" bestFit="1" customWidth="1"/>
    <col min="6" max="6" width="17.453125" bestFit="1" customWidth="1"/>
    <col min="7" max="7" width="16.1796875" bestFit="1" customWidth="1"/>
    <col min="8" max="8" width="24.54296875" bestFit="1" customWidth="1"/>
    <col min="9" max="9" width="23.36328125" bestFit="1" customWidth="1"/>
    <col min="10" max="10" width="20.08984375" bestFit="1" customWidth="1"/>
    <col min="11" max="11" width="20.26953125" bestFit="1" customWidth="1"/>
    <col min="12" max="12" width="8.81640625" bestFit="1" customWidth="1"/>
  </cols>
  <sheetData>
    <row r="1" spans="1:12">
      <c r="A1" s="12" t="s">
        <v>2</v>
      </c>
      <c r="B1" s="13" t="s">
        <v>3</v>
      </c>
      <c r="C1" s="13" t="s">
        <v>543</v>
      </c>
      <c r="D1" s="13" t="s">
        <v>4</v>
      </c>
      <c r="E1" s="13" t="s">
        <v>5</v>
      </c>
      <c r="F1" s="13" t="s">
        <v>6</v>
      </c>
      <c r="G1" s="13" t="s">
        <v>7</v>
      </c>
      <c r="H1" s="13" t="s">
        <v>8</v>
      </c>
      <c r="I1" s="13" t="s">
        <v>9</v>
      </c>
      <c r="J1" s="13" t="s">
        <v>10</v>
      </c>
      <c r="K1" s="13" t="s">
        <v>11</v>
      </c>
      <c r="L1" s="14"/>
    </row>
    <row r="2" spans="1:12">
      <c r="A2" s="15" t="s">
        <v>12</v>
      </c>
      <c r="B2" s="16">
        <v>44</v>
      </c>
      <c r="C2" s="16" t="str">
        <f>IF(B2&lt;=20,"16–20",IF(B2&lt;=25,"21–25",IF(B2&lt;=30,"26–30",IF(B2&lt;=35,"31-35",IF(B2&lt;=40,"36-40",IF(B2&lt;=45,"41-45","46+"))))))</f>
        <v>41-45</v>
      </c>
      <c r="D2" s="16" t="s">
        <v>13</v>
      </c>
      <c r="E2" s="16">
        <v>3.1</v>
      </c>
      <c r="F2" s="16">
        <v>7</v>
      </c>
      <c r="G2" s="16">
        <v>6</v>
      </c>
      <c r="H2" s="16">
        <v>2</v>
      </c>
      <c r="I2" s="16">
        <v>5</v>
      </c>
      <c r="J2" s="16" t="s">
        <v>14</v>
      </c>
      <c r="K2" s="16">
        <v>10</v>
      </c>
      <c r="L2" s="17"/>
    </row>
    <row r="3" spans="1:12">
      <c r="A3" s="18" t="s">
        <v>15</v>
      </c>
      <c r="B3" s="19">
        <v>30</v>
      </c>
      <c r="C3" s="16" t="str">
        <f t="shared" ref="C3:C66" si="0">IF(B3&lt;=20,"16–20",IF(B3&lt;=25,"21–25",IF(B3&lt;=30,"26–30",IF(B3&lt;=35,"31-35",IF(B3&lt;=40,"36-40",IF(B3&lt;=45,"41-45","46+"))))))</f>
        <v>26–30</v>
      </c>
      <c r="D3" s="19" t="s">
        <v>16</v>
      </c>
      <c r="E3" s="19">
        <v>5.0999999999999996</v>
      </c>
      <c r="F3" s="19">
        <v>7</v>
      </c>
      <c r="G3" s="19">
        <v>8</v>
      </c>
      <c r="H3" s="19">
        <v>5</v>
      </c>
      <c r="I3" s="19">
        <v>3</v>
      </c>
      <c r="J3" s="19" t="s">
        <v>17</v>
      </c>
      <c r="K3" s="19">
        <v>10</v>
      </c>
      <c r="L3" s="20"/>
    </row>
    <row r="4" spans="1:12">
      <c r="A4" s="15" t="s">
        <v>18</v>
      </c>
      <c r="B4" s="16">
        <v>23</v>
      </c>
      <c r="C4" s="16" t="str">
        <f t="shared" si="0"/>
        <v>21–25</v>
      </c>
      <c r="D4" s="16" t="s">
        <v>16</v>
      </c>
      <c r="E4" s="16">
        <v>7.4</v>
      </c>
      <c r="F4" s="16">
        <v>6</v>
      </c>
      <c r="G4" s="16">
        <v>7</v>
      </c>
      <c r="H4" s="16">
        <v>1</v>
      </c>
      <c r="I4" s="16">
        <v>3</v>
      </c>
      <c r="J4" s="16" t="s">
        <v>19</v>
      </c>
      <c r="K4" s="16">
        <v>6</v>
      </c>
      <c r="L4" s="21"/>
    </row>
    <row r="5" spans="1:12">
      <c r="A5" s="18" t="s">
        <v>20</v>
      </c>
      <c r="B5" s="19">
        <v>36</v>
      </c>
      <c r="C5" s="16" t="str">
        <f t="shared" si="0"/>
        <v>36-40</v>
      </c>
      <c r="D5" s="19" t="s">
        <v>21</v>
      </c>
      <c r="E5" s="19">
        <v>5.7</v>
      </c>
      <c r="F5" s="19">
        <v>7</v>
      </c>
      <c r="G5" s="19">
        <v>8</v>
      </c>
      <c r="H5" s="19">
        <v>1</v>
      </c>
      <c r="I5" s="19">
        <v>1</v>
      </c>
      <c r="J5" s="19" t="s">
        <v>22</v>
      </c>
      <c r="K5" s="19">
        <v>8</v>
      </c>
      <c r="L5" s="20"/>
    </row>
    <row r="6" spans="1:12">
      <c r="A6" s="15" t="s">
        <v>23</v>
      </c>
      <c r="B6" s="16">
        <v>34</v>
      </c>
      <c r="C6" s="16" t="str">
        <f t="shared" si="0"/>
        <v>31-35</v>
      </c>
      <c r="D6" s="16" t="s">
        <v>21</v>
      </c>
      <c r="E6" s="16">
        <v>7</v>
      </c>
      <c r="F6" s="16">
        <v>4</v>
      </c>
      <c r="G6" s="16">
        <v>7</v>
      </c>
      <c r="H6" s="16">
        <v>5</v>
      </c>
      <c r="I6" s="16">
        <v>1</v>
      </c>
      <c r="J6" s="16" t="s">
        <v>24</v>
      </c>
      <c r="K6" s="16">
        <v>8</v>
      </c>
      <c r="L6" s="21"/>
    </row>
    <row r="7" spans="1:12">
      <c r="A7" s="18" t="s">
        <v>25</v>
      </c>
      <c r="B7" s="19">
        <v>38</v>
      </c>
      <c r="C7" s="16" t="str">
        <f t="shared" si="0"/>
        <v>36-40</v>
      </c>
      <c r="D7" s="19" t="s">
        <v>13</v>
      </c>
      <c r="E7" s="19">
        <v>6.6</v>
      </c>
      <c r="F7" s="19">
        <v>5</v>
      </c>
      <c r="G7" s="19">
        <v>7</v>
      </c>
      <c r="H7" s="19">
        <v>4</v>
      </c>
      <c r="I7" s="19">
        <v>3</v>
      </c>
      <c r="J7" s="19" t="s">
        <v>17</v>
      </c>
      <c r="K7" s="19">
        <v>8</v>
      </c>
      <c r="L7" s="20"/>
    </row>
    <row r="8" spans="1:12">
      <c r="A8" s="15" t="s">
        <v>26</v>
      </c>
      <c r="B8" s="16">
        <v>26</v>
      </c>
      <c r="C8" s="16" t="str">
        <f t="shared" si="0"/>
        <v>26–30</v>
      </c>
      <c r="D8" s="16" t="s">
        <v>21</v>
      </c>
      <c r="E8" s="16">
        <v>7.8</v>
      </c>
      <c r="F8" s="16">
        <v>4</v>
      </c>
      <c r="G8" s="16">
        <v>8</v>
      </c>
      <c r="H8" s="16">
        <v>2</v>
      </c>
      <c r="I8" s="16">
        <v>0</v>
      </c>
      <c r="J8" s="16" t="s">
        <v>22</v>
      </c>
      <c r="K8" s="16">
        <v>7</v>
      </c>
      <c r="L8" s="21"/>
    </row>
    <row r="9" spans="1:12">
      <c r="A9" s="18" t="s">
        <v>27</v>
      </c>
      <c r="B9" s="19">
        <v>26</v>
      </c>
      <c r="C9" s="16" t="str">
        <f t="shared" si="0"/>
        <v>26–30</v>
      </c>
      <c r="D9" s="19" t="s">
        <v>21</v>
      </c>
      <c r="E9" s="19">
        <v>7.4</v>
      </c>
      <c r="F9" s="19">
        <v>5</v>
      </c>
      <c r="G9" s="19">
        <v>6</v>
      </c>
      <c r="H9" s="19">
        <v>1</v>
      </c>
      <c r="I9" s="19">
        <v>4</v>
      </c>
      <c r="J9" s="19" t="s">
        <v>28</v>
      </c>
      <c r="K9" s="19">
        <v>7</v>
      </c>
      <c r="L9" s="20"/>
    </row>
    <row r="10" spans="1:12">
      <c r="A10" s="15" t="s">
        <v>29</v>
      </c>
      <c r="B10" s="16">
        <v>39</v>
      </c>
      <c r="C10" s="16" t="str">
        <f t="shared" si="0"/>
        <v>36-40</v>
      </c>
      <c r="D10" s="16" t="s">
        <v>13</v>
      </c>
      <c r="E10" s="16">
        <v>4.7</v>
      </c>
      <c r="F10" s="16">
        <v>7</v>
      </c>
      <c r="G10" s="16">
        <v>7</v>
      </c>
      <c r="H10" s="16">
        <v>6</v>
      </c>
      <c r="I10" s="16">
        <v>1</v>
      </c>
      <c r="J10" s="16" t="s">
        <v>19</v>
      </c>
      <c r="K10" s="16">
        <v>9</v>
      </c>
      <c r="L10" s="21"/>
    </row>
    <row r="11" spans="1:12">
      <c r="A11" s="18" t="s">
        <v>30</v>
      </c>
      <c r="B11" s="19">
        <v>39</v>
      </c>
      <c r="C11" s="16" t="str">
        <f t="shared" si="0"/>
        <v>36-40</v>
      </c>
      <c r="D11" s="19" t="s">
        <v>21</v>
      </c>
      <c r="E11" s="19">
        <v>6.6</v>
      </c>
      <c r="F11" s="19">
        <v>6</v>
      </c>
      <c r="G11" s="19">
        <v>8</v>
      </c>
      <c r="H11" s="19">
        <v>0</v>
      </c>
      <c r="I11" s="19">
        <v>2</v>
      </c>
      <c r="J11" s="19" t="s">
        <v>14</v>
      </c>
      <c r="K11" s="19">
        <v>7</v>
      </c>
      <c r="L11" s="20"/>
    </row>
    <row r="12" spans="1:12">
      <c r="A12" s="15" t="s">
        <v>31</v>
      </c>
      <c r="B12" s="16">
        <v>18</v>
      </c>
      <c r="C12" s="16" t="str">
        <f t="shared" si="0"/>
        <v>16–20</v>
      </c>
      <c r="D12" s="16" t="s">
        <v>21</v>
      </c>
      <c r="E12" s="16">
        <v>2.8</v>
      </c>
      <c r="F12" s="16">
        <v>7</v>
      </c>
      <c r="G12" s="16">
        <v>6</v>
      </c>
      <c r="H12" s="16">
        <v>2</v>
      </c>
      <c r="I12" s="16">
        <v>0</v>
      </c>
      <c r="J12" s="16" t="s">
        <v>28</v>
      </c>
      <c r="K12" s="16">
        <v>7</v>
      </c>
      <c r="L12" s="21"/>
    </row>
    <row r="13" spans="1:12">
      <c r="A13" s="18" t="s">
        <v>32</v>
      </c>
      <c r="B13" s="19">
        <v>37</v>
      </c>
      <c r="C13" s="16" t="str">
        <f t="shared" si="0"/>
        <v>36-40</v>
      </c>
      <c r="D13" s="19" t="s">
        <v>16</v>
      </c>
      <c r="E13" s="19">
        <v>5.4</v>
      </c>
      <c r="F13" s="19">
        <v>5</v>
      </c>
      <c r="G13" s="19">
        <v>7</v>
      </c>
      <c r="H13" s="19">
        <v>3</v>
      </c>
      <c r="I13" s="19">
        <v>2</v>
      </c>
      <c r="J13" s="19" t="s">
        <v>28</v>
      </c>
      <c r="K13" s="19">
        <v>9</v>
      </c>
      <c r="L13" s="20"/>
    </row>
    <row r="14" spans="1:12">
      <c r="A14" s="15" t="s">
        <v>33</v>
      </c>
      <c r="B14" s="16">
        <v>17</v>
      </c>
      <c r="C14" s="16" t="str">
        <f t="shared" si="0"/>
        <v>16–20</v>
      </c>
      <c r="D14" s="16" t="s">
        <v>21</v>
      </c>
      <c r="E14" s="16">
        <v>7</v>
      </c>
      <c r="F14" s="16">
        <v>7</v>
      </c>
      <c r="G14" s="16">
        <v>10</v>
      </c>
      <c r="H14" s="16">
        <v>7</v>
      </c>
      <c r="I14" s="16">
        <v>1</v>
      </c>
      <c r="J14" s="16" t="s">
        <v>19</v>
      </c>
      <c r="K14" s="16">
        <v>8</v>
      </c>
      <c r="L14" s="21"/>
    </row>
    <row r="15" spans="1:12">
      <c r="A15" s="18" t="s">
        <v>34</v>
      </c>
      <c r="B15" s="19">
        <v>39</v>
      </c>
      <c r="C15" s="16" t="str">
        <f t="shared" si="0"/>
        <v>36-40</v>
      </c>
      <c r="D15" s="19" t="s">
        <v>21</v>
      </c>
      <c r="E15" s="19">
        <v>5.7</v>
      </c>
      <c r="F15" s="19">
        <v>5</v>
      </c>
      <c r="G15" s="19">
        <v>7</v>
      </c>
      <c r="H15" s="19">
        <v>4</v>
      </c>
      <c r="I15" s="19">
        <v>0</v>
      </c>
      <c r="J15" s="19" t="s">
        <v>14</v>
      </c>
      <c r="K15" s="19">
        <v>8</v>
      </c>
      <c r="L15" s="20"/>
    </row>
    <row r="16" spans="1:12">
      <c r="A16" s="15" t="s">
        <v>35</v>
      </c>
      <c r="B16" s="16">
        <v>45</v>
      </c>
      <c r="C16" s="16" t="str">
        <f t="shared" si="0"/>
        <v>41-45</v>
      </c>
      <c r="D16" s="16" t="s">
        <v>13</v>
      </c>
      <c r="E16" s="16">
        <v>6.3</v>
      </c>
      <c r="F16" s="16">
        <v>7</v>
      </c>
      <c r="G16" s="16">
        <v>7</v>
      </c>
      <c r="H16" s="16">
        <v>4</v>
      </c>
      <c r="I16" s="16">
        <v>3</v>
      </c>
      <c r="J16" s="16" t="s">
        <v>24</v>
      </c>
      <c r="K16" s="16">
        <v>9</v>
      </c>
      <c r="L16" s="21"/>
    </row>
    <row r="17" spans="1:12">
      <c r="A17" s="18" t="s">
        <v>36</v>
      </c>
      <c r="B17" s="19">
        <v>17</v>
      </c>
      <c r="C17" s="16" t="str">
        <f t="shared" si="0"/>
        <v>16–20</v>
      </c>
      <c r="D17" s="19" t="s">
        <v>21</v>
      </c>
      <c r="E17" s="19">
        <v>5.0999999999999996</v>
      </c>
      <c r="F17" s="19">
        <v>7</v>
      </c>
      <c r="G17" s="19">
        <v>6</v>
      </c>
      <c r="H17" s="19">
        <v>2</v>
      </c>
      <c r="I17" s="19">
        <v>5</v>
      </c>
      <c r="J17" s="19" t="s">
        <v>17</v>
      </c>
      <c r="K17" s="19">
        <v>10</v>
      </c>
      <c r="L17" s="20"/>
    </row>
    <row r="18" spans="1:12">
      <c r="A18" s="15" t="s">
        <v>37</v>
      </c>
      <c r="B18" s="16">
        <v>36</v>
      </c>
      <c r="C18" s="16" t="str">
        <f t="shared" si="0"/>
        <v>36-40</v>
      </c>
      <c r="D18" s="16" t="s">
        <v>21</v>
      </c>
      <c r="E18" s="16">
        <v>7.5</v>
      </c>
      <c r="F18" s="16">
        <v>5</v>
      </c>
      <c r="G18" s="16">
        <v>8</v>
      </c>
      <c r="H18" s="16">
        <v>4</v>
      </c>
      <c r="I18" s="16">
        <v>4</v>
      </c>
      <c r="J18" s="16" t="s">
        <v>14</v>
      </c>
      <c r="K18" s="16">
        <v>7</v>
      </c>
      <c r="L18" s="21"/>
    </row>
    <row r="19" spans="1:12">
      <c r="A19" s="18" t="s">
        <v>38</v>
      </c>
      <c r="B19" s="19">
        <v>48</v>
      </c>
      <c r="C19" s="16" t="str">
        <f t="shared" si="0"/>
        <v>46+</v>
      </c>
      <c r="D19" s="19" t="s">
        <v>13</v>
      </c>
      <c r="E19" s="19">
        <v>5.4</v>
      </c>
      <c r="F19" s="19">
        <v>6</v>
      </c>
      <c r="G19" s="19">
        <v>4</v>
      </c>
      <c r="H19" s="19">
        <v>3</v>
      </c>
      <c r="I19" s="19">
        <v>4</v>
      </c>
      <c r="J19" s="19" t="s">
        <v>22</v>
      </c>
      <c r="K19" s="19">
        <v>10</v>
      </c>
      <c r="L19" s="20"/>
    </row>
    <row r="20" spans="1:12">
      <c r="A20" s="15" t="s">
        <v>39</v>
      </c>
      <c r="B20" s="16">
        <v>27</v>
      </c>
      <c r="C20" s="16" t="str">
        <f t="shared" si="0"/>
        <v>26–30</v>
      </c>
      <c r="D20" s="16" t="s">
        <v>13</v>
      </c>
      <c r="E20" s="16">
        <v>4.7</v>
      </c>
      <c r="F20" s="16">
        <v>6</v>
      </c>
      <c r="G20" s="16">
        <v>6</v>
      </c>
      <c r="H20" s="16">
        <v>0</v>
      </c>
      <c r="I20" s="16">
        <v>2</v>
      </c>
      <c r="J20" s="16" t="s">
        <v>28</v>
      </c>
      <c r="K20" s="16">
        <v>9</v>
      </c>
      <c r="L20" s="21"/>
    </row>
    <row r="21" spans="1:12">
      <c r="A21" s="18" t="s">
        <v>40</v>
      </c>
      <c r="B21" s="19">
        <v>37</v>
      </c>
      <c r="C21" s="16" t="str">
        <f t="shared" si="0"/>
        <v>36-40</v>
      </c>
      <c r="D21" s="19" t="s">
        <v>13</v>
      </c>
      <c r="E21" s="19">
        <v>7.1</v>
      </c>
      <c r="F21" s="19">
        <v>6</v>
      </c>
      <c r="G21" s="19">
        <v>6</v>
      </c>
      <c r="H21" s="19">
        <v>5</v>
      </c>
      <c r="I21" s="19">
        <v>4</v>
      </c>
      <c r="J21" s="19" t="s">
        <v>22</v>
      </c>
      <c r="K21" s="19">
        <v>10</v>
      </c>
      <c r="L21" s="20"/>
    </row>
    <row r="22" spans="1:12">
      <c r="A22" s="15" t="s">
        <v>41</v>
      </c>
      <c r="B22" s="16">
        <v>40</v>
      </c>
      <c r="C22" s="16" t="str">
        <f t="shared" si="0"/>
        <v>36-40</v>
      </c>
      <c r="D22" s="16" t="s">
        <v>21</v>
      </c>
      <c r="E22" s="16">
        <v>3</v>
      </c>
      <c r="F22" s="16">
        <v>8</v>
      </c>
      <c r="G22" s="16">
        <v>5</v>
      </c>
      <c r="H22" s="16">
        <v>5</v>
      </c>
      <c r="I22" s="16">
        <v>4</v>
      </c>
      <c r="J22" s="16" t="s">
        <v>24</v>
      </c>
      <c r="K22" s="16">
        <v>10</v>
      </c>
      <c r="L22" s="21"/>
    </row>
    <row r="23" spans="1:12">
      <c r="A23" s="18" t="s">
        <v>42</v>
      </c>
      <c r="B23" s="19">
        <v>42</v>
      </c>
      <c r="C23" s="16" t="str">
        <f t="shared" si="0"/>
        <v>41-45</v>
      </c>
      <c r="D23" s="19" t="s">
        <v>16</v>
      </c>
      <c r="E23" s="19">
        <v>6.4</v>
      </c>
      <c r="F23" s="19">
        <v>7</v>
      </c>
      <c r="G23" s="19">
        <v>6</v>
      </c>
      <c r="H23" s="19">
        <v>5</v>
      </c>
      <c r="I23" s="19">
        <v>3</v>
      </c>
      <c r="J23" s="19" t="s">
        <v>22</v>
      </c>
      <c r="K23" s="19">
        <v>10</v>
      </c>
      <c r="L23" s="20"/>
    </row>
    <row r="24" spans="1:12">
      <c r="A24" s="15" t="s">
        <v>43</v>
      </c>
      <c r="B24" s="16">
        <v>43</v>
      </c>
      <c r="C24" s="16" t="str">
        <f t="shared" si="0"/>
        <v>41-45</v>
      </c>
      <c r="D24" s="16" t="s">
        <v>13</v>
      </c>
      <c r="E24" s="16">
        <v>3.6</v>
      </c>
      <c r="F24" s="16">
        <v>8</v>
      </c>
      <c r="G24" s="16">
        <v>5</v>
      </c>
      <c r="H24" s="16">
        <v>3</v>
      </c>
      <c r="I24" s="16">
        <v>1</v>
      </c>
      <c r="J24" s="16" t="s">
        <v>14</v>
      </c>
      <c r="K24" s="16">
        <v>9</v>
      </c>
      <c r="L24" s="21"/>
    </row>
    <row r="25" spans="1:12">
      <c r="A25" s="18" t="s">
        <v>44</v>
      </c>
      <c r="B25" s="19">
        <v>31</v>
      </c>
      <c r="C25" s="16" t="str">
        <f t="shared" si="0"/>
        <v>31-35</v>
      </c>
      <c r="D25" s="19" t="s">
        <v>21</v>
      </c>
      <c r="E25" s="19">
        <v>7.8</v>
      </c>
      <c r="F25" s="19">
        <v>5</v>
      </c>
      <c r="G25" s="19">
        <v>8</v>
      </c>
      <c r="H25" s="19">
        <v>1</v>
      </c>
      <c r="I25" s="19">
        <v>2</v>
      </c>
      <c r="J25" s="19" t="s">
        <v>22</v>
      </c>
      <c r="K25" s="19">
        <v>7</v>
      </c>
      <c r="L25" s="20"/>
    </row>
    <row r="26" spans="1:12">
      <c r="A26" s="15" t="s">
        <v>45</v>
      </c>
      <c r="B26" s="16">
        <v>30</v>
      </c>
      <c r="C26" s="16" t="str">
        <f t="shared" si="0"/>
        <v>26–30</v>
      </c>
      <c r="D26" s="16" t="s">
        <v>13</v>
      </c>
      <c r="E26" s="16">
        <v>5</v>
      </c>
      <c r="F26" s="16">
        <v>6</v>
      </c>
      <c r="G26" s="16">
        <v>6</v>
      </c>
      <c r="H26" s="16">
        <v>0</v>
      </c>
      <c r="I26" s="16">
        <v>5</v>
      </c>
      <c r="J26" s="16" t="s">
        <v>24</v>
      </c>
      <c r="K26" s="16">
        <v>8</v>
      </c>
      <c r="L26" s="21"/>
    </row>
    <row r="27" spans="1:12">
      <c r="A27" s="18" t="s">
        <v>46</v>
      </c>
      <c r="B27" s="19">
        <v>18</v>
      </c>
      <c r="C27" s="16" t="str">
        <f t="shared" si="0"/>
        <v>16–20</v>
      </c>
      <c r="D27" s="19" t="s">
        <v>16</v>
      </c>
      <c r="E27" s="19">
        <v>5.7</v>
      </c>
      <c r="F27" s="19">
        <v>6</v>
      </c>
      <c r="G27" s="19">
        <v>7</v>
      </c>
      <c r="H27" s="19">
        <v>3</v>
      </c>
      <c r="I27" s="19">
        <v>2</v>
      </c>
      <c r="J27" s="19" t="s">
        <v>24</v>
      </c>
      <c r="K27" s="19">
        <v>8</v>
      </c>
      <c r="L27" s="20"/>
    </row>
    <row r="28" spans="1:12">
      <c r="A28" s="15" t="s">
        <v>47</v>
      </c>
      <c r="B28" s="16">
        <v>22</v>
      </c>
      <c r="C28" s="16" t="str">
        <f t="shared" si="0"/>
        <v>21–25</v>
      </c>
      <c r="D28" s="16" t="s">
        <v>21</v>
      </c>
      <c r="E28" s="16">
        <v>6.2</v>
      </c>
      <c r="F28" s="16">
        <v>5</v>
      </c>
      <c r="G28" s="16">
        <v>8</v>
      </c>
      <c r="H28" s="16">
        <v>5</v>
      </c>
      <c r="I28" s="16">
        <v>0</v>
      </c>
      <c r="J28" s="16" t="s">
        <v>24</v>
      </c>
      <c r="K28" s="16">
        <v>6</v>
      </c>
      <c r="L28" s="21"/>
    </row>
    <row r="29" spans="1:12">
      <c r="A29" s="18" t="s">
        <v>48</v>
      </c>
      <c r="B29" s="19">
        <v>36</v>
      </c>
      <c r="C29" s="16" t="str">
        <f t="shared" si="0"/>
        <v>36-40</v>
      </c>
      <c r="D29" s="19" t="s">
        <v>21</v>
      </c>
      <c r="E29" s="19">
        <v>2</v>
      </c>
      <c r="F29" s="19">
        <v>8</v>
      </c>
      <c r="G29" s="19">
        <v>4</v>
      </c>
      <c r="H29" s="19">
        <v>5</v>
      </c>
      <c r="I29" s="19">
        <v>0</v>
      </c>
      <c r="J29" s="19" t="s">
        <v>14</v>
      </c>
      <c r="K29" s="19">
        <v>10</v>
      </c>
      <c r="L29" s="20"/>
    </row>
    <row r="30" spans="1:12">
      <c r="A30" s="15" t="s">
        <v>49</v>
      </c>
      <c r="B30" s="16">
        <v>24</v>
      </c>
      <c r="C30" s="16" t="str">
        <f t="shared" si="0"/>
        <v>21–25</v>
      </c>
      <c r="D30" s="16" t="s">
        <v>13</v>
      </c>
      <c r="E30" s="16">
        <v>4.3</v>
      </c>
      <c r="F30" s="16">
        <v>6</v>
      </c>
      <c r="G30" s="16">
        <v>6</v>
      </c>
      <c r="H30" s="16">
        <v>5</v>
      </c>
      <c r="I30" s="16">
        <v>2</v>
      </c>
      <c r="J30" s="16" t="s">
        <v>24</v>
      </c>
      <c r="K30" s="16">
        <v>10</v>
      </c>
      <c r="L30" s="21"/>
    </row>
    <row r="31" spans="1:12">
      <c r="A31" s="18" t="s">
        <v>50</v>
      </c>
      <c r="B31" s="19">
        <v>33</v>
      </c>
      <c r="C31" s="16" t="str">
        <f t="shared" si="0"/>
        <v>31-35</v>
      </c>
      <c r="D31" s="19" t="s">
        <v>13</v>
      </c>
      <c r="E31" s="19">
        <v>7.4</v>
      </c>
      <c r="F31" s="19">
        <v>6</v>
      </c>
      <c r="G31" s="19">
        <v>10</v>
      </c>
      <c r="H31" s="19">
        <v>3</v>
      </c>
      <c r="I31" s="19">
        <v>4</v>
      </c>
      <c r="J31" s="19" t="s">
        <v>28</v>
      </c>
      <c r="K31" s="19">
        <v>8</v>
      </c>
      <c r="L31" s="20"/>
    </row>
    <row r="32" spans="1:12">
      <c r="A32" s="15" t="s">
        <v>51</v>
      </c>
      <c r="B32" s="16">
        <v>19</v>
      </c>
      <c r="C32" s="16" t="str">
        <f t="shared" si="0"/>
        <v>16–20</v>
      </c>
      <c r="D32" s="16" t="s">
        <v>13</v>
      </c>
      <c r="E32" s="16">
        <v>7.1</v>
      </c>
      <c r="F32" s="16">
        <v>5</v>
      </c>
      <c r="G32" s="16">
        <v>8</v>
      </c>
      <c r="H32" s="16">
        <v>5</v>
      </c>
      <c r="I32" s="16">
        <v>2</v>
      </c>
      <c r="J32" s="16" t="s">
        <v>24</v>
      </c>
      <c r="K32" s="16">
        <v>9</v>
      </c>
      <c r="L32" s="21"/>
    </row>
    <row r="33" spans="1:12">
      <c r="A33" s="18" t="s">
        <v>52</v>
      </c>
      <c r="B33" s="19">
        <v>40</v>
      </c>
      <c r="C33" s="16" t="str">
        <f t="shared" si="0"/>
        <v>36-40</v>
      </c>
      <c r="D33" s="19" t="s">
        <v>13</v>
      </c>
      <c r="E33" s="19">
        <v>6</v>
      </c>
      <c r="F33" s="19">
        <v>6</v>
      </c>
      <c r="G33" s="19">
        <v>7</v>
      </c>
      <c r="H33" s="19">
        <v>5</v>
      </c>
      <c r="I33" s="19">
        <v>4</v>
      </c>
      <c r="J33" s="19" t="s">
        <v>22</v>
      </c>
      <c r="K33" s="19">
        <v>7</v>
      </c>
      <c r="L33" s="20"/>
    </row>
    <row r="34" spans="1:12">
      <c r="A34" s="15" t="s">
        <v>53</v>
      </c>
      <c r="B34" s="16">
        <v>29</v>
      </c>
      <c r="C34" s="16" t="str">
        <f t="shared" si="0"/>
        <v>26–30</v>
      </c>
      <c r="D34" s="16" t="s">
        <v>21</v>
      </c>
      <c r="E34" s="16">
        <v>3.1</v>
      </c>
      <c r="F34" s="16">
        <v>8</v>
      </c>
      <c r="G34" s="16">
        <v>4</v>
      </c>
      <c r="H34" s="16">
        <v>2</v>
      </c>
      <c r="I34" s="16">
        <v>2</v>
      </c>
      <c r="J34" s="16" t="s">
        <v>17</v>
      </c>
      <c r="K34" s="16">
        <v>10</v>
      </c>
      <c r="L34" s="21"/>
    </row>
    <row r="35" spans="1:12">
      <c r="A35" s="18" t="s">
        <v>54</v>
      </c>
      <c r="B35" s="19">
        <v>24</v>
      </c>
      <c r="C35" s="16" t="str">
        <f t="shared" si="0"/>
        <v>21–25</v>
      </c>
      <c r="D35" s="19" t="s">
        <v>21</v>
      </c>
      <c r="E35" s="19">
        <v>6.6</v>
      </c>
      <c r="F35" s="19">
        <v>6</v>
      </c>
      <c r="G35" s="19">
        <v>7</v>
      </c>
      <c r="H35" s="19">
        <v>4</v>
      </c>
      <c r="I35" s="19">
        <v>0</v>
      </c>
      <c r="J35" s="19" t="s">
        <v>22</v>
      </c>
      <c r="K35" s="19">
        <v>7</v>
      </c>
      <c r="L35" s="20"/>
    </row>
    <row r="36" spans="1:12">
      <c r="A36" s="15" t="s">
        <v>55</v>
      </c>
      <c r="B36" s="16">
        <v>41</v>
      </c>
      <c r="C36" s="16" t="str">
        <f t="shared" si="0"/>
        <v>41-45</v>
      </c>
      <c r="D36" s="16" t="s">
        <v>16</v>
      </c>
      <c r="E36" s="16">
        <v>6.8</v>
      </c>
      <c r="F36" s="16">
        <v>8</v>
      </c>
      <c r="G36" s="16">
        <v>7</v>
      </c>
      <c r="H36" s="16">
        <v>2</v>
      </c>
      <c r="I36" s="16">
        <v>2</v>
      </c>
      <c r="J36" s="16" t="s">
        <v>17</v>
      </c>
      <c r="K36" s="16">
        <v>9</v>
      </c>
      <c r="L36" s="21"/>
    </row>
    <row r="37" spans="1:12">
      <c r="A37" s="18" t="s">
        <v>56</v>
      </c>
      <c r="B37" s="19">
        <v>17</v>
      </c>
      <c r="C37" s="16" t="str">
        <f t="shared" si="0"/>
        <v>16–20</v>
      </c>
      <c r="D37" s="19" t="s">
        <v>16</v>
      </c>
      <c r="E37" s="19">
        <v>5.6</v>
      </c>
      <c r="F37" s="19">
        <v>6</v>
      </c>
      <c r="G37" s="19">
        <v>7</v>
      </c>
      <c r="H37" s="19">
        <v>4</v>
      </c>
      <c r="I37" s="19">
        <v>3</v>
      </c>
      <c r="J37" s="19" t="s">
        <v>22</v>
      </c>
      <c r="K37" s="19">
        <v>7</v>
      </c>
      <c r="L37" s="20"/>
    </row>
    <row r="38" spans="1:12">
      <c r="A38" s="15" t="s">
        <v>57</v>
      </c>
      <c r="B38" s="16">
        <v>35</v>
      </c>
      <c r="C38" s="16" t="str">
        <f t="shared" si="0"/>
        <v>31-35</v>
      </c>
      <c r="D38" s="16" t="s">
        <v>21</v>
      </c>
      <c r="E38" s="16">
        <v>7.7</v>
      </c>
      <c r="F38" s="16">
        <v>4</v>
      </c>
      <c r="G38" s="16">
        <v>8</v>
      </c>
      <c r="H38" s="16">
        <v>0</v>
      </c>
      <c r="I38" s="16">
        <v>3</v>
      </c>
      <c r="J38" s="16" t="s">
        <v>14</v>
      </c>
      <c r="K38" s="16">
        <v>8</v>
      </c>
      <c r="L38" s="21"/>
    </row>
    <row r="39" spans="1:12">
      <c r="A39" s="18" t="s">
        <v>58</v>
      </c>
      <c r="B39" s="19">
        <v>43</v>
      </c>
      <c r="C39" s="16" t="str">
        <f t="shared" si="0"/>
        <v>41-45</v>
      </c>
      <c r="D39" s="19" t="s">
        <v>21</v>
      </c>
      <c r="E39" s="19">
        <v>4.3</v>
      </c>
      <c r="F39" s="19">
        <v>8</v>
      </c>
      <c r="G39" s="19">
        <v>4</v>
      </c>
      <c r="H39" s="19">
        <v>1</v>
      </c>
      <c r="I39" s="19">
        <v>1</v>
      </c>
      <c r="J39" s="19" t="s">
        <v>22</v>
      </c>
      <c r="K39" s="19">
        <v>10</v>
      </c>
      <c r="L39" s="20"/>
    </row>
    <row r="40" spans="1:12">
      <c r="A40" s="15" t="s">
        <v>59</v>
      </c>
      <c r="B40" s="16">
        <v>22</v>
      </c>
      <c r="C40" s="16" t="str">
        <f t="shared" si="0"/>
        <v>21–25</v>
      </c>
      <c r="D40" s="16" t="s">
        <v>16</v>
      </c>
      <c r="E40" s="16">
        <v>4.5999999999999996</v>
      </c>
      <c r="F40" s="16">
        <v>4</v>
      </c>
      <c r="G40" s="16">
        <v>6</v>
      </c>
      <c r="H40" s="16">
        <v>5</v>
      </c>
      <c r="I40" s="16">
        <v>2</v>
      </c>
      <c r="J40" s="16" t="s">
        <v>14</v>
      </c>
      <c r="K40" s="16">
        <v>9</v>
      </c>
      <c r="L40" s="21"/>
    </row>
    <row r="41" spans="1:12">
      <c r="A41" s="18" t="s">
        <v>60</v>
      </c>
      <c r="B41" s="19">
        <v>23</v>
      </c>
      <c r="C41" s="16" t="str">
        <f t="shared" si="0"/>
        <v>21–25</v>
      </c>
      <c r="D41" s="19" t="s">
        <v>21</v>
      </c>
      <c r="E41" s="19">
        <v>1</v>
      </c>
      <c r="F41" s="19">
        <v>9</v>
      </c>
      <c r="G41" s="19">
        <v>5</v>
      </c>
      <c r="H41" s="19">
        <v>5</v>
      </c>
      <c r="I41" s="19">
        <v>7</v>
      </c>
      <c r="J41" s="19" t="s">
        <v>14</v>
      </c>
      <c r="K41" s="19">
        <v>10</v>
      </c>
      <c r="L41" s="20"/>
    </row>
    <row r="42" spans="1:12">
      <c r="A42" s="15" t="s">
        <v>61</v>
      </c>
      <c r="B42" s="16">
        <v>29</v>
      </c>
      <c r="C42" s="16" t="str">
        <f t="shared" si="0"/>
        <v>26–30</v>
      </c>
      <c r="D42" s="16" t="s">
        <v>13</v>
      </c>
      <c r="E42" s="16">
        <v>7.2</v>
      </c>
      <c r="F42" s="16">
        <v>5</v>
      </c>
      <c r="G42" s="16">
        <v>7</v>
      </c>
      <c r="H42" s="16">
        <v>4</v>
      </c>
      <c r="I42" s="16">
        <v>1</v>
      </c>
      <c r="J42" s="16" t="s">
        <v>24</v>
      </c>
      <c r="K42" s="16">
        <v>10</v>
      </c>
      <c r="L42" s="21"/>
    </row>
    <row r="43" spans="1:12">
      <c r="A43" s="18" t="s">
        <v>62</v>
      </c>
      <c r="B43" s="19">
        <v>32</v>
      </c>
      <c r="C43" s="16" t="str">
        <f t="shared" si="0"/>
        <v>31-35</v>
      </c>
      <c r="D43" s="19" t="s">
        <v>13</v>
      </c>
      <c r="E43" s="19">
        <v>6.1</v>
      </c>
      <c r="F43" s="19">
        <v>5</v>
      </c>
      <c r="G43" s="19">
        <v>6</v>
      </c>
      <c r="H43" s="19">
        <v>3</v>
      </c>
      <c r="I43" s="19">
        <v>3</v>
      </c>
      <c r="J43" s="19" t="s">
        <v>28</v>
      </c>
      <c r="K43" s="19">
        <v>7</v>
      </c>
      <c r="L43" s="20"/>
    </row>
    <row r="44" spans="1:12">
      <c r="A44" s="15" t="s">
        <v>63</v>
      </c>
      <c r="B44" s="16">
        <v>19</v>
      </c>
      <c r="C44" s="16" t="str">
        <f t="shared" si="0"/>
        <v>16–20</v>
      </c>
      <c r="D44" s="16" t="s">
        <v>13</v>
      </c>
      <c r="E44" s="16">
        <v>2.5</v>
      </c>
      <c r="F44" s="16">
        <v>9</v>
      </c>
      <c r="G44" s="16">
        <v>3</v>
      </c>
      <c r="H44" s="16">
        <v>0</v>
      </c>
      <c r="I44" s="16">
        <v>0</v>
      </c>
      <c r="J44" s="16" t="s">
        <v>17</v>
      </c>
      <c r="K44" s="16">
        <v>10</v>
      </c>
      <c r="L44" s="21"/>
    </row>
    <row r="45" spans="1:12">
      <c r="A45" s="18" t="s">
        <v>64</v>
      </c>
      <c r="B45" s="19">
        <v>17</v>
      </c>
      <c r="C45" s="16" t="str">
        <f t="shared" si="0"/>
        <v>16–20</v>
      </c>
      <c r="D45" s="19" t="s">
        <v>16</v>
      </c>
      <c r="E45" s="19">
        <v>2.2999999999999998</v>
      </c>
      <c r="F45" s="19">
        <v>9</v>
      </c>
      <c r="G45" s="19">
        <v>3</v>
      </c>
      <c r="H45" s="19">
        <v>3</v>
      </c>
      <c r="I45" s="19">
        <v>4</v>
      </c>
      <c r="J45" s="19" t="s">
        <v>24</v>
      </c>
      <c r="K45" s="19">
        <v>10</v>
      </c>
      <c r="L45" s="20"/>
    </row>
    <row r="46" spans="1:12">
      <c r="A46" s="15" t="s">
        <v>65</v>
      </c>
      <c r="B46" s="16">
        <v>21</v>
      </c>
      <c r="C46" s="16" t="str">
        <f t="shared" si="0"/>
        <v>21–25</v>
      </c>
      <c r="D46" s="16" t="s">
        <v>21</v>
      </c>
      <c r="E46" s="16">
        <v>3.9</v>
      </c>
      <c r="F46" s="16">
        <v>6</v>
      </c>
      <c r="G46" s="16">
        <v>6</v>
      </c>
      <c r="H46" s="16">
        <v>4</v>
      </c>
      <c r="I46" s="16">
        <v>1</v>
      </c>
      <c r="J46" s="16" t="s">
        <v>24</v>
      </c>
      <c r="K46" s="16">
        <v>8</v>
      </c>
      <c r="L46" s="21"/>
    </row>
    <row r="47" spans="1:12">
      <c r="A47" s="18" t="s">
        <v>66</v>
      </c>
      <c r="B47" s="19">
        <v>19</v>
      </c>
      <c r="C47" s="16" t="str">
        <f t="shared" si="0"/>
        <v>16–20</v>
      </c>
      <c r="D47" s="19" t="s">
        <v>13</v>
      </c>
      <c r="E47" s="19">
        <v>6.9</v>
      </c>
      <c r="F47" s="19">
        <v>5</v>
      </c>
      <c r="G47" s="19">
        <v>7</v>
      </c>
      <c r="H47" s="19">
        <v>2</v>
      </c>
      <c r="I47" s="19">
        <v>3</v>
      </c>
      <c r="J47" s="19" t="s">
        <v>14</v>
      </c>
      <c r="K47" s="19">
        <v>9</v>
      </c>
      <c r="L47" s="20"/>
    </row>
    <row r="48" spans="1:12">
      <c r="A48" s="15" t="s">
        <v>67</v>
      </c>
      <c r="B48" s="16">
        <v>44</v>
      </c>
      <c r="C48" s="16" t="str">
        <f t="shared" si="0"/>
        <v>41-45</v>
      </c>
      <c r="D48" s="16" t="s">
        <v>21</v>
      </c>
      <c r="E48" s="16">
        <v>5</v>
      </c>
      <c r="F48" s="16">
        <v>4</v>
      </c>
      <c r="G48" s="16">
        <v>7</v>
      </c>
      <c r="H48" s="16">
        <v>2</v>
      </c>
      <c r="I48" s="16">
        <v>1</v>
      </c>
      <c r="J48" s="16" t="s">
        <v>14</v>
      </c>
      <c r="K48" s="16">
        <v>8</v>
      </c>
      <c r="L48" s="21"/>
    </row>
    <row r="49" spans="1:12">
      <c r="A49" s="18" t="s">
        <v>68</v>
      </c>
      <c r="B49" s="19">
        <v>33</v>
      </c>
      <c r="C49" s="16" t="str">
        <f t="shared" si="0"/>
        <v>31-35</v>
      </c>
      <c r="D49" s="19" t="s">
        <v>21</v>
      </c>
      <c r="E49" s="19">
        <v>4.0999999999999996</v>
      </c>
      <c r="F49" s="19">
        <v>8</v>
      </c>
      <c r="G49" s="19">
        <v>7</v>
      </c>
      <c r="H49" s="19">
        <v>6</v>
      </c>
      <c r="I49" s="19">
        <v>3</v>
      </c>
      <c r="J49" s="19" t="s">
        <v>17</v>
      </c>
      <c r="K49" s="19">
        <v>9</v>
      </c>
      <c r="L49" s="20"/>
    </row>
    <row r="50" spans="1:12">
      <c r="A50" s="15" t="s">
        <v>69</v>
      </c>
      <c r="B50" s="16">
        <v>41</v>
      </c>
      <c r="C50" s="16" t="str">
        <f t="shared" si="0"/>
        <v>41-45</v>
      </c>
      <c r="D50" s="16" t="s">
        <v>13</v>
      </c>
      <c r="E50" s="16">
        <v>3.7</v>
      </c>
      <c r="F50" s="16">
        <v>8</v>
      </c>
      <c r="G50" s="16">
        <v>6</v>
      </c>
      <c r="H50" s="16">
        <v>3</v>
      </c>
      <c r="I50" s="16">
        <v>1</v>
      </c>
      <c r="J50" s="16" t="s">
        <v>22</v>
      </c>
      <c r="K50" s="16">
        <v>9</v>
      </c>
      <c r="L50" s="21"/>
    </row>
    <row r="51" spans="1:12">
      <c r="A51" s="18" t="s">
        <v>70</v>
      </c>
      <c r="B51" s="19">
        <v>49</v>
      </c>
      <c r="C51" s="16" t="str">
        <f t="shared" si="0"/>
        <v>46+</v>
      </c>
      <c r="D51" s="19" t="s">
        <v>13</v>
      </c>
      <c r="E51" s="19">
        <v>3.6</v>
      </c>
      <c r="F51" s="19">
        <v>7</v>
      </c>
      <c r="G51" s="19">
        <v>5</v>
      </c>
      <c r="H51" s="19">
        <v>4</v>
      </c>
      <c r="I51" s="19">
        <v>1</v>
      </c>
      <c r="J51" s="19" t="s">
        <v>22</v>
      </c>
      <c r="K51" s="19">
        <v>9</v>
      </c>
      <c r="L51" s="20"/>
    </row>
    <row r="52" spans="1:12">
      <c r="A52" s="15" t="s">
        <v>71</v>
      </c>
      <c r="B52" s="16">
        <v>25</v>
      </c>
      <c r="C52" s="16" t="str">
        <f t="shared" si="0"/>
        <v>21–25</v>
      </c>
      <c r="D52" s="16" t="s">
        <v>21</v>
      </c>
      <c r="E52" s="16">
        <v>2</v>
      </c>
      <c r="F52" s="16">
        <v>9</v>
      </c>
      <c r="G52" s="16">
        <v>4</v>
      </c>
      <c r="H52" s="16">
        <v>5</v>
      </c>
      <c r="I52" s="16">
        <v>3</v>
      </c>
      <c r="J52" s="16" t="s">
        <v>24</v>
      </c>
      <c r="K52" s="16">
        <v>10</v>
      </c>
      <c r="L52" s="21"/>
    </row>
    <row r="53" spans="1:12">
      <c r="A53" s="18" t="s">
        <v>72</v>
      </c>
      <c r="B53" s="19">
        <v>29</v>
      </c>
      <c r="C53" s="16" t="str">
        <f t="shared" si="0"/>
        <v>26–30</v>
      </c>
      <c r="D53" s="19" t="s">
        <v>21</v>
      </c>
      <c r="E53" s="19">
        <v>3.3</v>
      </c>
      <c r="F53" s="19">
        <v>7</v>
      </c>
      <c r="G53" s="19">
        <v>5</v>
      </c>
      <c r="H53" s="19">
        <v>1</v>
      </c>
      <c r="I53" s="19">
        <v>2</v>
      </c>
      <c r="J53" s="19" t="s">
        <v>19</v>
      </c>
      <c r="K53" s="19">
        <v>10</v>
      </c>
      <c r="L53" s="20"/>
    </row>
    <row r="54" spans="1:12">
      <c r="A54" s="15" t="s">
        <v>73</v>
      </c>
      <c r="B54" s="16">
        <v>46</v>
      </c>
      <c r="C54" s="16" t="str">
        <f t="shared" si="0"/>
        <v>46+</v>
      </c>
      <c r="D54" s="16" t="s">
        <v>21</v>
      </c>
      <c r="E54" s="16">
        <v>3.6</v>
      </c>
      <c r="F54" s="16">
        <v>7</v>
      </c>
      <c r="G54" s="16">
        <v>5</v>
      </c>
      <c r="H54" s="16">
        <v>3</v>
      </c>
      <c r="I54" s="16">
        <v>3</v>
      </c>
      <c r="J54" s="16" t="s">
        <v>19</v>
      </c>
      <c r="K54" s="16">
        <v>10</v>
      </c>
      <c r="L54" s="21"/>
    </row>
    <row r="55" spans="1:12">
      <c r="A55" s="18" t="s">
        <v>74</v>
      </c>
      <c r="B55" s="19">
        <v>30</v>
      </c>
      <c r="C55" s="16" t="str">
        <f t="shared" si="0"/>
        <v>26–30</v>
      </c>
      <c r="D55" s="19" t="s">
        <v>21</v>
      </c>
      <c r="E55" s="19">
        <v>6.7</v>
      </c>
      <c r="F55" s="19">
        <v>6</v>
      </c>
      <c r="G55" s="19">
        <v>8</v>
      </c>
      <c r="H55" s="19">
        <v>6</v>
      </c>
      <c r="I55" s="19">
        <v>2</v>
      </c>
      <c r="J55" s="19" t="s">
        <v>22</v>
      </c>
      <c r="K55" s="19">
        <v>7</v>
      </c>
      <c r="L55" s="20"/>
    </row>
    <row r="56" spans="1:12">
      <c r="A56" s="15" t="s">
        <v>75</v>
      </c>
      <c r="B56" s="16">
        <v>23</v>
      </c>
      <c r="C56" s="16" t="str">
        <f t="shared" si="0"/>
        <v>21–25</v>
      </c>
      <c r="D56" s="16" t="s">
        <v>21</v>
      </c>
      <c r="E56" s="16">
        <v>5.2</v>
      </c>
      <c r="F56" s="16">
        <v>6</v>
      </c>
      <c r="G56" s="16">
        <v>6</v>
      </c>
      <c r="H56" s="16">
        <v>7</v>
      </c>
      <c r="I56" s="16">
        <v>3</v>
      </c>
      <c r="J56" s="16" t="s">
        <v>19</v>
      </c>
      <c r="K56" s="16">
        <v>8</v>
      </c>
      <c r="L56" s="21"/>
    </row>
    <row r="57" spans="1:12">
      <c r="A57" s="18" t="s">
        <v>76</v>
      </c>
      <c r="B57" s="19">
        <v>29</v>
      </c>
      <c r="C57" s="16" t="str">
        <f t="shared" si="0"/>
        <v>26–30</v>
      </c>
      <c r="D57" s="19" t="s">
        <v>21</v>
      </c>
      <c r="E57" s="19">
        <v>4</v>
      </c>
      <c r="F57" s="19">
        <v>7</v>
      </c>
      <c r="G57" s="19">
        <v>3</v>
      </c>
      <c r="H57" s="19">
        <v>3</v>
      </c>
      <c r="I57" s="19">
        <v>3</v>
      </c>
      <c r="J57" s="19" t="s">
        <v>22</v>
      </c>
      <c r="K57" s="19">
        <v>10</v>
      </c>
      <c r="L57" s="20"/>
    </row>
    <row r="58" spans="1:12">
      <c r="A58" s="15" t="s">
        <v>77</v>
      </c>
      <c r="B58" s="16">
        <v>38</v>
      </c>
      <c r="C58" s="16" t="str">
        <f t="shared" si="0"/>
        <v>36-40</v>
      </c>
      <c r="D58" s="16" t="s">
        <v>21</v>
      </c>
      <c r="E58" s="16">
        <v>9.6999999999999993</v>
      </c>
      <c r="F58" s="16">
        <v>3</v>
      </c>
      <c r="G58" s="16">
        <v>9</v>
      </c>
      <c r="H58" s="16">
        <v>3</v>
      </c>
      <c r="I58" s="16">
        <v>2</v>
      </c>
      <c r="J58" s="16" t="s">
        <v>14</v>
      </c>
      <c r="K58" s="16">
        <v>4</v>
      </c>
      <c r="L58" s="21"/>
    </row>
    <row r="59" spans="1:12">
      <c r="A59" s="18" t="s">
        <v>78</v>
      </c>
      <c r="B59" s="19">
        <v>36</v>
      </c>
      <c r="C59" s="16" t="str">
        <f t="shared" si="0"/>
        <v>36-40</v>
      </c>
      <c r="D59" s="19" t="s">
        <v>21</v>
      </c>
      <c r="E59" s="19">
        <v>4.3</v>
      </c>
      <c r="F59" s="19">
        <v>7</v>
      </c>
      <c r="G59" s="19">
        <v>6</v>
      </c>
      <c r="H59" s="19">
        <v>4</v>
      </c>
      <c r="I59" s="19">
        <v>1</v>
      </c>
      <c r="J59" s="19" t="s">
        <v>24</v>
      </c>
      <c r="K59" s="19">
        <v>9</v>
      </c>
      <c r="L59" s="20"/>
    </row>
    <row r="60" spans="1:12">
      <c r="A60" s="15" t="s">
        <v>79</v>
      </c>
      <c r="B60" s="16">
        <v>31</v>
      </c>
      <c r="C60" s="16" t="str">
        <f t="shared" si="0"/>
        <v>31-35</v>
      </c>
      <c r="D60" s="16" t="s">
        <v>13</v>
      </c>
      <c r="E60" s="16">
        <v>7.6</v>
      </c>
      <c r="F60" s="16">
        <v>5</v>
      </c>
      <c r="G60" s="16">
        <v>10</v>
      </c>
      <c r="H60" s="16">
        <v>3</v>
      </c>
      <c r="I60" s="16">
        <v>2</v>
      </c>
      <c r="J60" s="16" t="s">
        <v>28</v>
      </c>
      <c r="K60" s="16">
        <v>6</v>
      </c>
      <c r="L60" s="21"/>
    </row>
    <row r="61" spans="1:12">
      <c r="A61" s="18" t="s">
        <v>80</v>
      </c>
      <c r="B61" s="19">
        <v>33</v>
      </c>
      <c r="C61" s="16" t="str">
        <f t="shared" si="0"/>
        <v>31-35</v>
      </c>
      <c r="D61" s="19" t="s">
        <v>13</v>
      </c>
      <c r="E61" s="19">
        <v>8.4</v>
      </c>
      <c r="F61" s="19">
        <v>4</v>
      </c>
      <c r="G61" s="19">
        <v>8</v>
      </c>
      <c r="H61" s="19">
        <v>6</v>
      </c>
      <c r="I61" s="19">
        <v>4</v>
      </c>
      <c r="J61" s="19" t="s">
        <v>24</v>
      </c>
      <c r="K61" s="19">
        <v>7</v>
      </c>
      <c r="L61" s="20"/>
    </row>
    <row r="62" spans="1:12">
      <c r="A62" s="15" t="s">
        <v>81</v>
      </c>
      <c r="B62" s="16">
        <v>39</v>
      </c>
      <c r="C62" s="16" t="str">
        <f t="shared" si="0"/>
        <v>36-40</v>
      </c>
      <c r="D62" s="16" t="s">
        <v>13</v>
      </c>
      <c r="E62" s="16">
        <v>2.7</v>
      </c>
      <c r="F62" s="16">
        <v>9</v>
      </c>
      <c r="G62" s="16">
        <v>5</v>
      </c>
      <c r="H62" s="16">
        <v>1</v>
      </c>
      <c r="I62" s="16">
        <v>3</v>
      </c>
      <c r="J62" s="16" t="s">
        <v>22</v>
      </c>
      <c r="K62" s="16">
        <v>10</v>
      </c>
      <c r="L62" s="21"/>
    </row>
    <row r="63" spans="1:12">
      <c r="A63" s="18" t="s">
        <v>82</v>
      </c>
      <c r="B63" s="19">
        <v>41</v>
      </c>
      <c r="C63" s="16" t="str">
        <f t="shared" si="0"/>
        <v>41-45</v>
      </c>
      <c r="D63" s="19" t="s">
        <v>21</v>
      </c>
      <c r="E63" s="19">
        <v>5.6</v>
      </c>
      <c r="F63" s="19">
        <v>6</v>
      </c>
      <c r="G63" s="19">
        <v>7</v>
      </c>
      <c r="H63" s="19">
        <v>2</v>
      </c>
      <c r="I63" s="19">
        <v>1</v>
      </c>
      <c r="J63" s="19" t="s">
        <v>22</v>
      </c>
      <c r="K63" s="19">
        <v>9</v>
      </c>
      <c r="L63" s="20"/>
    </row>
    <row r="64" spans="1:12">
      <c r="A64" s="15" t="s">
        <v>83</v>
      </c>
      <c r="B64" s="16">
        <v>40</v>
      </c>
      <c r="C64" s="16" t="str">
        <f t="shared" si="0"/>
        <v>36-40</v>
      </c>
      <c r="D64" s="16" t="s">
        <v>21</v>
      </c>
      <c r="E64" s="16">
        <v>4.5999999999999996</v>
      </c>
      <c r="F64" s="16">
        <v>7</v>
      </c>
      <c r="G64" s="16">
        <v>7</v>
      </c>
      <c r="H64" s="16">
        <v>1</v>
      </c>
      <c r="I64" s="16">
        <v>3</v>
      </c>
      <c r="J64" s="16" t="s">
        <v>24</v>
      </c>
      <c r="K64" s="16">
        <v>10</v>
      </c>
      <c r="L64" s="21"/>
    </row>
    <row r="65" spans="1:12">
      <c r="A65" s="18" t="s">
        <v>84</v>
      </c>
      <c r="B65" s="19">
        <v>44</v>
      </c>
      <c r="C65" s="16" t="str">
        <f t="shared" si="0"/>
        <v>41-45</v>
      </c>
      <c r="D65" s="19" t="s">
        <v>21</v>
      </c>
      <c r="E65" s="19">
        <v>4.4000000000000004</v>
      </c>
      <c r="F65" s="19">
        <v>6</v>
      </c>
      <c r="G65" s="19">
        <v>7</v>
      </c>
      <c r="H65" s="19">
        <v>1</v>
      </c>
      <c r="I65" s="19">
        <v>3</v>
      </c>
      <c r="J65" s="19" t="s">
        <v>17</v>
      </c>
      <c r="K65" s="19">
        <v>9</v>
      </c>
      <c r="L65" s="20"/>
    </row>
    <row r="66" spans="1:12">
      <c r="A66" s="15" t="s">
        <v>85</v>
      </c>
      <c r="B66" s="16">
        <v>30</v>
      </c>
      <c r="C66" s="16" t="str">
        <f t="shared" si="0"/>
        <v>26–30</v>
      </c>
      <c r="D66" s="16" t="s">
        <v>13</v>
      </c>
      <c r="E66" s="16">
        <v>6.5</v>
      </c>
      <c r="F66" s="16">
        <v>4</v>
      </c>
      <c r="G66" s="16">
        <v>9</v>
      </c>
      <c r="H66" s="16">
        <v>4</v>
      </c>
      <c r="I66" s="16">
        <v>3</v>
      </c>
      <c r="J66" s="16" t="s">
        <v>22</v>
      </c>
      <c r="K66" s="16">
        <v>5</v>
      </c>
      <c r="L66" s="21"/>
    </row>
    <row r="67" spans="1:12">
      <c r="A67" s="18" t="s">
        <v>86</v>
      </c>
      <c r="B67" s="19">
        <v>16</v>
      </c>
      <c r="C67" s="16" t="str">
        <f t="shared" ref="C67:C130" si="1">IF(B67&lt;=20,"16–20",IF(B67&lt;=25,"21–25",IF(B67&lt;=30,"26–30",IF(B67&lt;=35,"31-35",IF(B67&lt;=40,"36-40",IF(B67&lt;=45,"41-45","46+"))))))</f>
        <v>16–20</v>
      </c>
      <c r="D67" s="19" t="s">
        <v>13</v>
      </c>
      <c r="E67" s="19">
        <v>4.4000000000000004</v>
      </c>
      <c r="F67" s="19">
        <v>8</v>
      </c>
      <c r="G67" s="19">
        <v>4</v>
      </c>
      <c r="H67" s="19">
        <v>5</v>
      </c>
      <c r="I67" s="19">
        <v>1</v>
      </c>
      <c r="J67" s="19" t="s">
        <v>19</v>
      </c>
      <c r="K67" s="19">
        <v>10</v>
      </c>
      <c r="L67" s="20"/>
    </row>
    <row r="68" spans="1:12">
      <c r="A68" s="15" t="s">
        <v>87</v>
      </c>
      <c r="B68" s="16">
        <v>40</v>
      </c>
      <c r="C68" s="16" t="str">
        <f t="shared" si="1"/>
        <v>36-40</v>
      </c>
      <c r="D68" s="16" t="s">
        <v>13</v>
      </c>
      <c r="E68" s="16">
        <v>4.5999999999999996</v>
      </c>
      <c r="F68" s="16">
        <v>7</v>
      </c>
      <c r="G68" s="16">
        <v>6</v>
      </c>
      <c r="H68" s="16">
        <v>2</v>
      </c>
      <c r="I68" s="16">
        <v>1</v>
      </c>
      <c r="J68" s="16" t="s">
        <v>19</v>
      </c>
      <c r="K68" s="16">
        <v>10</v>
      </c>
      <c r="L68" s="21"/>
    </row>
    <row r="69" spans="1:12">
      <c r="A69" s="18" t="s">
        <v>88</v>
      </c>
      <c r="B69" s="19">
        <v>22</v>
      </c>
      <c r="C69" s="16" t="str">
        <f t="shared" si="1"/>
        <v>21–25</v>
      </c>
      <c r="D69" s="19" t="s">
        <v>13</v>
      </c>
      <c r="E69" s="19">
        <v>5.2</v>
      </c>
      <c r="F69" s="19">
        <v>9</v>
      </c>
      <c r="G69" s="19">
        <v>7</v>
      </c>
      <c r="H69" s="19">
        <v>5</v>
      </c>
      <c r="I69" s="19">
        <v>1</v>
      </c>
      <c r="J69" s="19" t="s">
        <v>22</v>
      </c>
      <c r="K69" s="19">
        <v>10</v>
      </c>
      <c r="L69" s="20"/>
    </row>
    <row r="70" spans="1:12">
      <c r="A70" s="15" t="s">
        <v>89</v>
      </c>
      <c r="B70" s="16">
        <v>24</v>
      </c>
      <c r="C70" s="16" t="str">
        <f t="shared" si="1"/>
        <v>21–25</v>
      </c>
      <c r="D70" s="16" t="s">
        <v>21</v>
      </c>
      <c r="E70" s="16">
        <v>4.8</v>
      </c>
      <c r="F70" s="16">
        <v>6</v>
      </c>
      <c r="G70" s="16">
        <v>7</v>
      </c>
      <c r="H70" s="16">
        <v>5</v>
      </c>
      <c r="I70" s="16">
        <v>2</v>
      </c>
      <c r="J70" s="16" t="s">
        <v>22</v>
      </c>
      <c r="K70" s="16">
        <v>7</v>
      </c>
      <c r="L70" s="21"/>
    </row>
    <row r="71" spans="1:12">
      <c r="A71" s="18" t="s">
        <v>90</v>
      </c>
      <c r="B71" s="19">
        <v>39</v>
      </c>
      <c r="C71" s="16" t="str">
        <f t="shared" si="1"/>
        <v>36-40</v>
      </c>
      <c r="D71" s="19" t="s">
        <v>13</v>
      </c>
      <c r="E71" s="19">
        <v>3.4</v>
      </c>
      <c r="F71" s="19">
        <v>8</v>
      </c>
      <c r="G71" s="19">
        <v>6</v>
      </c>
      <c r="H71" s="19">
        <v>7</v>
      </c>
      <c r="I71" s="19">
        <v>3</v>
      </c>
      <c r="J71" s="19" t="s">
        <v>17</v>
      </c>
      <c r="K71" s="19">
        <v>10</v>
      </c>
      <c r="L71" s="20"/>
    </row>
    <row r="72" spans="1:12">
      <c r="A72" s="15" t="s">
        <v>91</v>
      </c>
      <c r="B72" s="16">
        <v>16</v>
      </c>
      <c r="C72" s="16" t="str">
        <f t="shared" si="1"/>
        <v>16–20</v>
      </c>
      <c r="D72" s="16" t="s">
        <v>13</v>
      </c>
      <c r="E72" s="16">
        <v>6.9</v>
      </c>
      <c r="F72" s="16">
        <v>5</v>
      </c>
      <c r="G72" s="16">
        <v>8</v>
      </c>
      <c r="H72" s="16">
        <v>3</v>
      </c>
      <c r="I72" s="16">
        <v>3</v>
      </c>
      <c r="J72" s="16" t="s">
        <v>19</v>
      </c>
      <c r="K72" s="16">
        <v>5</v>
      </c>
      <c r="L72" s="21"/>
    </row>
    <row r="73" spans="1:12">
      <c r="A73" s="18" t="s">
        <v>92</v>
      </c>
      <c r="B73" s="19">
        <v>23</v>
      </c>
      <c r="C73" s="16" t="str">
        <f t="shared" si="1"/>
        <v>21–25</v>
      </c>
      <c r="D73" s="19" t="s">
        <v>21</v>
      </c>
      <c r="E73" s="19">
        <v>7.4</v>
      </c>
      <c r="F73" s="19">
        <v>6</v>
      </c>
      <c r="G73" s="19">
        <v>7</v>
      </c>
      <c r="H73" s="19">
        <v>2</v>
      </c>
      <c r="I73" s="19">
        <v>3</v>
      </c>
      <c r="J73" s="19" t="s">
        <v>22</v>
      </c>
      <c r="K73" s="19">
        <v>8</v>
      </c>
      <c r="L73" s="20"/>
    </row>
    <row r="74" spans="1:12">
      <c r="A74" s="15" t="s">
        <v>93</v>
      </c>
      <c r="B74" s="16">
        <v>39</v>
      </c>
      <c r="C74" s="16" t="str">
        <f t="shared" si="1"/>
        <v>36-40</v>
      </c>
      <c r="D74" s="16" t="s">
        <v>13</v>
      </c>
      <c r="E74" s="16">
        <v>6.1</v>
      </c>
      <c r="F74" s="16">
        <v>5</v>
      </c>
      <c r="G74" s="16">
        <v>5</v>
      </c>
      <c r="H74" s="16">
        <v>1</v>
      </c>
      <c r="I74" s="16">
        <v>5</v>
      </c>
      <c r="J74" s="16" t="s">
        <v>22</v>
      </c>
      <c r="K74" s="16">
        <v>10</v>
      </c>
      <c r="L74" s="21"/>
    </row>
    <row r="75" spans="1:12">
      <c r="A75" s="18" t="s">
        <v>94</v>
      </c>
      <c r="B75" s="19">
        <v>26</v>
      </c>
      <c r="C75" s="16" t="str">
        <f t="shared" si="1"/>
        <v>26–30</v>
      </c>
      <c r="D75" s="19" t="s">
        <v>21</v>
      </c>
      <c r="E75" s="19">
        <v>4.8</v>
      </c>
      <c r="F75" s="19">
        <v>6</v>
      </c>
      <c r="G75" s="19">
        <v>6</v>
      </c>
      <c r="H75" s="19">
        <v>1</v>
      </c>
      <c r="I75" s="19">
        <v>4</v>
      </c>
      <c r="J75" s="19" t="s">
        <v>17</v>
      </c>
      <c r="K75" s="19">
        <v>8</v>
      </c>
      <c r="L75" s="20"/>
    </row>
    <row r="76" spans="1:12">
      <c r="A76" s="15" t="s">
        <v>95</v>
      </c>
      <c r="B76" s="16">
        <v>32</v>
      </c>
      <c r="C76" s="16" t="str">
        <f t="shared" si="1"/>
        <v>31-35</v>
      </c>
      <c r="D76" s="16" t="s">
        <v>21</v>
      </c>
      <c r="E76" s="16">
        <v>4.2</v>
      </c>
      <c r="F76" s="16">
        <v>8</v>
      </c>
      <c r="G76" s="16">
        <v>8</v>
      </c>
      <c r="H76" s="16">
        <v>5</v>
      </c>
      <c r="I76" s="16">
        <v>2</v>
      </c>
      <c r="J76" s="16" t="s">
        <v>17</v>
      </c>
      <c r="K76" s="16">
        <v>8</v>
      </c>
      <c r="L76" s="21"/>
    </row>
    <row r="77" spans="1:12">
      <c r="A77" s="18" t="s">
        <v>96</v>
      </c>
      <c r="B77" s="19">
        <v>23</v>
      </c>
      <c r="C77" s="16" t="str">
        <f t="shared" si="1"/>
        <v>21–25</v>
      </c>
      <c r="D77" s="19" t="s">
        <v>13</v>
      </c>
      <c r="E77" s="19">
        <v>4.2</v>
      </c>
      <c r="F77" s="19">
        <v>7</v>
      </c>
      <c r="G77" s="19">
        <v>5</v>
      </c>
      <c r="H77" s="19">
        <v>0</v>
      </c>
      <c r="I77" s="19">
        <v>1</v>
      </c>
      <c r="J77" s="19" t="s">
        <v>24</v>
      </c>
      <c r="K77" s="19">
        <v>10</v>
      </c>
      <c r="L77" s="20"/>
    </row>
    <row r="78" spans="1:12">
      <c r="A78" s="15" t="s">
        <v>97</v>
      </c>
      <c r="B78" s="16">
        <v>48</v>
      </c>
      <c r="C78" s="16" t="str">
        <f t="shared" si="1"/>
        <v>46+</v>
      </c>
      <c r="D78" s="16" t="s">
        <v>21</v>
      </c>
      <c r="E78" s="16">
        <v>9.6999999999999993</v>
      </c>
      <c r="F78" s="16">
        <v>4</v>
      </c>
      <c r="G78" s="16">
        <v>8</v>
      </c>
      <c r="H78" s="16">
        <v>5</v>
      </c>
      <c r="I78" s="16">
        <v>1</v>
      </c>
      <c r="J78" s="16" t="s">
        <v>17</v>
      </c>
      <c r="K78" s="16">
        <v>5</v>
      </c>
      <c r="L78" s="21"/>
    </row>
    <row r="79" spans="1:12">
      <c r="A79" s="18" t="s">
        <v>98</v>
      </c>
      <c r="B79" s="19">
        <v>20</v>
      </c>
      <c r="C79" s="16" t="str">
        <f t="shared" si="1"/>
        <v>16–20</v>
      </c>
      <c r="D79" s="19" t="s">
        <v>21</v>
      </c>
      <c r="E79" s="19">
        <v>7.2</v>
      </c>
      <c r="F79" s="19">
        <v>6</v>
      </c>
      <c r="G79" s="19">
        <v>9</v>
      </c>
      <c r="H79" s="19">
        <v>1</v>
      </c>
      <c r="I79" s="19">
        <v>2</v>
      </c>
      <c r="J79" s="19" t="s">
        <v>28</v>
      </c>
      <c r="K79" s="19">
        <v>6</v>
      </c>
      <c r="L79" s="20"/>
    </row>
    <row r="80" spans="1:12">
      <c r="A80" s="15" t="s">
        <v>99</v>
      </c>
      <c r="B80" s="16">
        <v>43</v>
      </c>
      <c r="C80" s="16" t="str">
        <f t="shared" si="1"/>
        <v>41-45</v>
      </c>
      <c r="D80" s="16" t="s">
        <v>16</v>
      </c>
      <c r="E80" s="16">
        <v>4</v>
      </c>
      <c r="F80" s="16">
        <v>7</v>
      </c>
      <c r="G80" s="16">
        <v>7</v>
      </c>
      <c r="H80" s="16">
        <v>2</v>
      </c>
      <c r="I80" s="16">
        <v>4</v>
      </c>
      <c r="J80" s="16" t="s">
        <v>19</v>
      </c>
      <c r="K80" s="16">
        <v>9</v>
      </c>
      <c r="L80" s="21"/>
    </row>
    <row r="81" spans="1:12">
      <c r="A81" s="18" t="s">
        <v>100</v>
      </c>
      <c r="B81" s="19">
        <v>22</v>
      </c>
      <c r="C81" s="16" t="str">
        <f t="shared" si="1"/>
        <v>21–25</v>
      </c>
      <c r="D81" s="19" t="s">
        <v>13</v>
      </c>
      <c r="E81" s="19">
        <v>5.8</v>
      </c>
      <c r="F81" s="19">
        <v>6</v>
      </c>
      <c r="G81" s="19">
        <v>8</v>
      </c>
      <c r="H81" s="19">
        <v>3</v>
      </c>
      <c r="I81" s="19">
        <v>2</v>
      </c>
      <c r="J81" s="19" t="s">
        <v>24</v>
      </c>
      <c r="K81" s="19">
        <v>7</v>
      </c>
      <c r="L81" s="20"/>
    </row>
    <row r="82" spans="1:12">
      <c r="A82" s="15" t="s">
        <v>101</v>
      </c>
      <c r="B82" s="16">
        <v>24</v>
      </c>
      <c r="C82" s="16" t="str">
        <f t="shared" si="1"/>
        <v>21–25</v>
      </c>
      <c r="D82" s="16" t="s">
        <v>21</v>
      </c>
      <c r="E82" s="16">
        <v>4.8</v>
      </c>
      <c r="F82" s="16">
        <v>6</v>
      </c>
      <c r="G82" s="16">
        <v>7</v>
      </c>
      <c r="H82" s="16">
        <v>2</v>
      </c>
      <c r="I82" s="16">
        <v>2</v>
      </c>
      <c r="J82" s="16" t="s">
        <v>28</v>
      </c>
      <c r="K82" s="16">
        <v>8</v>
      </c>
      <c r="L82" s="21"/>
    </row>
    <row r="83" spans="1:12">
      <c r="A83" s="18" t="s">
        <v>102</v>
      </c>
      <c r="B83" s="19">
        <v>23</v>
      </c>
      <c r="C83" s="16" t="str">
        <f t="shared" si="1"/>
        <v>21–25</v>
      </c>
      <c r="D83" s="19" t="s">
        <v>21</v>
      </c>
      <c r="E83" s="19">
        <v>6.6</v>
      </c>
      <c r="F83" s="19">
        <v>6</v>
      </c>
      <c r="G83" s="19">
        <v>8</v>
      </c>
      <c r="H83" s="19">
        <v>5</v>
      </c>
      <c r="I83" s="19">
        <v>1</v>
      </c>
      <c r="J83" s="19" t="s">
        <v>22</v>
      </c>
      <c r="K83" s="19">
        <v>8</v>
      </c>
      <c r="L83" s="20"/>
    </row>
    <row r="84" spans="1:12">
      <c r="A84" s="15" t="s">
        <v>103</v>
      </c>
      <c r="B84" s="16">
        <v>27</v>
      </c>
      <c r="C84" s="16" t="str">
        <f t="shared" si="1"/>
        <v>26–30</v>
      </c>
      <c r="D84" s="16" t="s">
        <v>13</v>
      </c>
      <c r="E84" s="16">
        <v>6.5</v>
      </c>
      <c r="F84" s="16">
        <v>7</v>
      </c>
      <c r="G84" s="16">
        <v>9</v>
      </c>
      <c r="H84" s="16">
        <v>7</v>
      </c>
      <c r="I84" s="16">
        <v>2</v>
      </c>
      <c r="J84" s="16" t="s">
        <v>22</v>
      </c>
      <c r="K84" s="16">
        <v>8</v>
      </c>
      <c r="L84" s="21"/>
    </row>
    <row r="85" spans="1:12">
      <c r="A85" s="18" t="s">
        <v>104</v>
      </c>
      <c r="B85" s="19">
        <v>49</v>
      </c>
      <c r="C85" s="16" t="str">
        <f t="shared" si="1"/>
        <v>46+</v>
      </c>
      <c r="D85" s="19" t="s">
        <v>13</v>
      </c>
      <c r="E85" s="19">
        <v>7.5</v>
      </c>
      <c r="F85" s="19">
        <v>4</v>
      </c>
      <c r="G85" s="19">
        <v>7</v>
      </c>
      <c r="H85" s="19">
        <v>2</v>
      </c>
      <c r="I85" s="19">
        <v>4</v>
      </c>
      <c r="J85" s="19" t="s">
        <v>24</v>
      </c>
      <c r="K85" s="19">
        <v>8</v>
      </c>
      <c r="L85" s="20"/>
    </row>
    <row r="86" spans="1:12">
      <c r="A86" s="15" t="s">
        <v>105</v>
      </c>
      <c r="B86" s="16">
        <v>48</v>
      </c>
      <c r="C86" s="16" t="str">
        <f t="shared" si="1"/>
        <v>46+</v>
      </c>
      <c r="D86" s="16" t="s">
        <v>16</v>
      </c>
      <c r="E86" s="16">
        <v>4</v>
      </c>
      <c r="F86" s="16">
        <v>7</v>
      </c>
      <c r="G86" s="16">
        <v>5</v>
      </c>
      <c r="H86" s="16">
        <v>2</v>
      </c>
      <c r="I86" s="16">
        <v>5</v>
      </c>
      <c r="J86" s="16" t="s">
        <v>17</v>
      </c>
      <c r="K86" s="16">
        <v>10</v>
      </c>
      <c r="L86" s="21"/>
    </row>
    <row r="87" spans="1:12">
      <c r="A87" s="18" t="s">
        <v>106</v>
      </c>
      <c r="B87" s="19">
        <v>38</v>
      </c>
      <c r="C87" s="16" t="str">
        <f t="shared" si="1"/>
        <v>36-40</v>
      </c>
      <c r="D87" s="19" t="s">
        <v>21</v>
      </c>
      <c r="E87" s="19">
        <v>5.7</v>
      </c>
      <c r="F87" s="19">
        <v>5</v>
      </c>
      <c r="G87" s="19">
        <v>6</v>
      </c>
      <c r="H87" s="19">
        <v>3</v>
      </c>
      <c r="I87" s="19">
        <v>2</v>
      </c>
      <c r="J87" s="19" t="s">
        <v>22</v>
      </c>
      <c r="K87" s="19">
        <v>9</v>
      </c>
      <c r="L87" s="20"/>
    </row>
    <row r="88" spans="1:12">
      <c r="A88" s="15" t="s">
        <v>107</v>
      </c>
      <c r="B88" s="16">
        <v>39</v>
      </c>
      <c r="C88" s="16" t="str">
        <f t="shared" si="1"/>
        <v>36-40</v>
      </c>
      <c r="D88" s="16" t="s">
        <v>13</v>
      </c>
      <c r="E88" s="16">
        <v>2.4</v>
      </c>
      <c r="F88" s="16">
        <v>7</v>
      </c>
      <c r="G88" s="16">
        <v>4</v>
      </c>
      <c r="H88" s="16">
        <v>4</v>
      </c>
      <c r="I88" s="16">
        <v>2</v>
      </c>
      <c r="J88" s="16" t="s">
        <v>14</v>
      </c>
      <c r="K88" s="16">
        <v>10</v>
      </c>
      <c r="L88" s="21"/>
    </row>
    <row r="89" spans="1:12">
      <c r="A89" s="18" t="s">
        <v>108</v>
      </c>
      <c r="B89" s="19">
        <v>37</v>
      </c>
      <c r="C89" s="16" t="str">
        <f t="shared" si="1"/>
        <v>36-40</v>
      </c>
      <c r="D89" s="19" t="s">
        <v>21</v>
      </c>
      <c r="E89" s="19">
        <v>3.2</v>
      </c>
      <c r="F89" s="19">
        <v>8</v>
      </c>
      <c r="G89" s="19">
        <v>7</v>
      </c>
      <c r="H89" s="19">
        <v>3</v>
      </c>
      <c r="I89" s="19">
        <v>1</v>
      </c>
      <c r="J89" s="19" t="s">
        <v>24</v>
      </c>
      <c r="K89" s="19">
        <v>10</v>
      </c>
      <c r="L89" s="20"/>
    </row>
    <row r="90" spans="1:12">
      <c r="A90" s="15" t="s">
        <v>109</v>
      </c>
      <c r="B90" s="16">
        <v>42</v>
      </c>
      <c r="C90" s="16" t="str">
        <f t="shared" si="1"/>
        <v>41-45</v>
      </c>
      <c r="D90" s="16" t="s">
        <v>13</v>
      </c>
      <c r="E90" s="16">
        <v>7.1</v>
      </c>
      <c r="F90" s="16">
        <v>3</v>
      </c>
      <c r="G90" s="16">
        <v>8</v>
      </c>
      <c r="H90" s="16">
        <v>6</v>
      </c>
      <c r="I90" s="16">
        <v>5</v>
      </c>
      <c r="J90" s="16" t="s">
        <v>28</v>
      </c>
      <c r="K90" s="16">
        <v>6</v>
      </c>
      <c r="L90" s="21"/>
    </row>
    <row r="91" spans="1:12">
      <c r="A91" s="18" t="s">
        <v>110</v>
      </c>
      <c r="B91" s="19">
        <v>16</v>
      </c>
      <c r="C91" s="16" t="str">
        <f t="shared" si="1"/>
        <v>16–20</v>
      </c>
      <c r="D91" s="19" t="s">
        <v>13</v>
      </c>
      <c r="E91" s="19">
        <v>3.8</v>
      </c>
      <c r="F91" s="19">
        <v>10</v>
      </c>
      <c r="G91" s="19">
        <v>6</v>
      </c>
      <c r="H91" s="19">
        <v>5</v>
      </c>
      <c r="I91" s="19">
        <v>0</v>
      </c>
      <c r="J91" s="19" t="s">
        <v>24</v>
      </c>
      <c r="K91" s="19">
        <v>10</v>
      </c>
      <c r="L91" s="20"/>
    </row>
    <row r="92" spans="1:12">
      <c r="A92" s="15" t="s">
        <v>111</v>
      </c>
      <c r="B92" s="16">
        <v>29</v>
      </c>
      <c r="C92" s="16" t="str">
        <f t="shared" si="1"/>
        <v>26–30</v>
      </c>
      <c r="D92" s="16" t="s">
        <v>13</v>
      </c>
      <c r="E92" s="16">
        <v>4</v>
      </c>
      <c r="F92" s="16">
        <v>6</v>
      </c>
      <c r="G92" s="16">
        <v>4</v>
      </c>
      <c r="H92" s="16">
        <v>1</v>
      </c>
      <c r="I92" s="16">
        <v>4</v>
      </c>
      <c r="J92" s="16" t="s">
        <v>19</v>
      </c>
      <c r="K92" s="16">
        <v>9</v>
      </c>
      <c r="L92" s="21"/>
    </row>
    <row r="93" spans="1:12">
      <c r="A93" s="18" t="s">
        <v>112</v>
      </c>
      <c r="B93" s="19">
        <v>18</v>
      </c>
      <c r="C93" s="16" t="str">
        <f t="shared" si="1"/>
        <v>16–20</v>
      </c>
      <c r="D93" s="19" t="s">
        <v>13</v>
      </c>
      <c r="E93" s="19">
        <v>5.5</v>
      </c>
      <c r="F93" s="19">
        <v>6</v>
      </c>
      <c r="G93" s="19">
        <v>6</v>
      </c>
      <c r="H93" s="19">
        <v>4</v>
      </c>
      <c r="I93" s="19">
        <v>2</v>
      </c>
      <c r="J93" s="19" t="s">
        <v>17</v>
      </c>
      <c r="K93" s="19">
        <v>9</v>
      </c>
      <c r="L93" s="20"/>
    </row>
    <row r="94" spans="1:12">
      <c r="A94" s="15" t="s">
        <v>113</v>
      </c>
      <c r="B94" s="16">
        <v>16</v>
      </c>
      <c r="C94" s="16" t="str">
        <f t="shared" si="1"/>
        <v>16–20</v>
      </c>
      <c r="D94" s="16" t="s">
        <v>13</v>
      </c>
      <c r="E94" s="16">
        <v>6.8</v>
      </c>
      <c r="F94" s="16">
        <v>7</v>
      </c>
      <c r="G94" s="16">
        <v>6</v>
      </c>
      <c r="H94" s="16">
        <v>6</v>
      </c>
      <c r="I94" s="16">
        <v>2</v>
      </c>
      <c r="J94" s="16" t="s">
        <v>17</v>
      </c>
      <c r="K94" s="16">
        <v>9</v>
      </c>
      <c r="L94" s="21"/>
    </row>
    <row r="95" spans="1:12">
      <c r="A95" s="18" t="s">
        <v>114</v>
      </c>
      <c r="B95" s="19">
        <v>20</v>
      </c>
      <c r="C95" s="16" t="str">
        <f t="shared" si="1"/>
        <v>16–20</v>
      </c>
      <c r="D95" s="19" t="s">
        <v>13</v>
      </c>
      <c r="E95" s="19">
        <v>3.6</v>
      </c>
      <c r="F95" s="19">
        <v>7</v>
      </c>
      <c r="G95" s="19">
        <v>7</v>
      </c>
      <c r="H95" s="19">
        <v>2</v>
      </c>
      <c r="I95" s="19">
        <v>1</v>
      </c>
      <c r="J95" s="19" t="s">
        <v>24</v>
      </c>
      <c r="K95" s="19">
        <v>8</v>
      </c>
      <c r="L95" s="20"/>
    </row>
    <row r="96" spans="1:12">
      <c r="A96" s="15" t="s">
        <v>115</v>
      </c>
      <c r="B96" s="16">
        <v>41</v>
      </c>
      <c r="C96" s="16" t="str">
        <f t="shared" si="1"/>
        <v>41-45</v>
      </c>
      <c r="D96" s="16" t="s">
        <v>21</v>
      </c>
      <c r="E96" s="16">
        <v>1</v>
      </c>
      <c r="F96" s="16">
        <v>7</v>
      </c>
      <c r="G96" s="16">
        <v>5</v>
      </c>
      <c r="H96" s="16">
        <v>2</v>
      </c>
      <c r="I96" s="16">
        <v>6</v>
      </c>
      <c r="J96" s="16" t="s">
        <v>22</v>
      </c>
      <c r="K96" s="16">
        <v>10</v>
      </c>
      <c r="L96" s="21"/>
    </row>
    <row r="97" spans="1:12">
      <c r="A97" s="18" t="s">
        <v>116</v>
      </c>
      <c r="B97" s="19">
        <v>29</v>
      </c>
      <c r="C97" s="16" t="str">
        <f t="shared" si="1"/>
        <v>26–30</v>
      </c>
      <c r="D97" s="19" t="s">
        <v>13</v>
      </c>
      <c r="E97" s="19">
        <v>3.9</v>
      </c>
      <c r="F97" s="19">
        <v>7</v>
      </c>
      <c r="G97" s="19">
        <v>6</v>
      </c>
      <c r="H97" s="19">
        <v>2</v>
      </c>
      <c r="I97" s="19">
        <v>3</v>
      </c>
      <c r="J97" s="19" t="s">
        <v>22</v>
      </c>
      <c r="K97" s="19">
        <v>10</v>
      </c>
      <c r="L97" s="20"/>
    </row>
    <row r="98" spans="1:12">
      <c r="A98" s="15" t="s">
        <v>117</v>
      </c>
      <c r="B98" s="16">
        <v>42</v>
      </c>
      <c r="C98" s="16" t="str">
        <f t="shared" si="1"/>
        <v>41-45</v>
      </c>
      <c r="D98" s="16" t="s">
        <v>13</v>
      </c>
      <c r="E98" s="16">
        <v>7.7</v>
      </c>
      <c r="F98" s="16">
        <v>4</v>
      </c>
      <c r="G98" s="16">
        <v>7</v>
      </c>
      <c r="H98" s="16">
        <v>2</v>
      </c>
      <c r="I98" s="16">
        <v>3</v>
      </c>
      <c r="J98" s="16" t="s">
        <v>14</v>
      </c>
      <c r="K98" s="16">
        <v>8</v>
      </c>
      <c r="L98" s="21"/>
    </row>
    <row r="99" spans="1:12">
      <c r="A99" s="18" t="s">
        <v>118</v>
      </c>
      <c r="B99" s="19">
        <v>24</v>
      </c>
      <c r="C99" s="16" t="str">
        <f t="shared" si="1"/>
        <v>21–25</v>
      </c>
      <c r="D99" s="19" t="s">
        <v>21</v>
      </c>
      <c r="E99" s="19">
        <v>6.1</v>
      </c>
      <c r="F99" s="19">
        <v>4</v>
      </c>
      <c r="G99" s="19">
        <v>9</v>
      </c>
      <c r="H99" s="19">
        <v>0</v>
      </c>
      <c r="I99" s="19">
        <v>4</v>
      </c>
      <c r="J99" s="19" t="s">
        <v>14</v>
      </c>
      <c r="K99" s="19">
        <v>6</v>
      </c>
      <c r="L99" s="20"/>
    </row>
    <row r="100" spans="1:12">
      <c r="A100" s="15" t="s">
        <v>119</v>
      </c>
      <c r="B100" s="16">
        <v>30</v>
      </c>
      <c r="C100" s="16" t="str">
        <f t="shared" si="1"/>
        <v>26–30</v>
      </c>
      <c r="D100" s="16" t="s">
        <v>21</v>
      </c>
      <c r="E100" s="16">
        <v>7.9</v>
      </c>
      <c r="F100" s="16">
        <v>5</v>
      </c>
      <c r="G100" s="16">
        <v>8</v>
      </c>
      <c r="H100" s="16">
        <v>0</v>
      </c>
      <c r="I100" s="16">
        <v>2</v>
      </c>
      <c r="J100" s="16" t="s">
        <v>17</v>
      </c>
      <c r="K100" s="16">
        <v>8</v>
      </c>
      <c r="L100" s="21"/>
    </row>
    <row r="101" spans="1:12">
      <c r="A101" s="18" t="s">
        <v>120</v>
      </c>
      <c r="B101" s="19">
        <v>30</v>
      </c>
      <c r="C101" s="16" t="str">
        <f t="shared" si="1"/>
        <v>26–30</v>
      </c>
      <c r="D101" s="19" t="s">
        <v>21</v>
      </c>
      <c r="E101" s="19">
        <v>3.5</v>
      </c>
      <c r="F101" s="19">
        <v>8</v>
      </c>
      <c r="G101" s="19">
        <v>4</v>
      </c>
      <c r="H101" s="19">
        <v>3</v>
      </c>
      <c r="I101" s="19">
        <v>3</v>
      </c>
      <c r="J101" s="19" t="s">
        <v>14</v>
      </c>
      <c r="K101" s="19">
        <v>10</v>
      </c>
      <c r="L101" s="20"/>
    </row>
    <row r="102" spans="1:12">
      <c r="A102" s="15" t="s">
        <v>121</v>
      </c>
      <c r="B102" s="16">
        <v>41</v>
      </c>
      <c r="C102" s="16" t="str">
        <f t="shared" si="1"/>
        <v>41-45</v>
      </c>
      <c r="D102" s="16" t="s">
        <v>13</v>
      </c>
      <c r="E102" s="16">
        <v>2.5</v>
      </c>
      <c r="F102" s="16">
        <v>9</v>
      </c>
      <c r="G102" s="16">
        <v>4</v>
      </c>
      <c r="H102" s="16">
        <v>6</v>
      </c>
      <c r="I102" s="16">
        <v>3</v>
      </c>
      <c r="J102" s="16" t="s">
        <v>28</v>
      </c>
      <c r="K102" s="16">
        <v>10</v>
      </c>
      <c r="L102" s="21"/>
    </row>
    <row r="103" spans="1:12">
      <c r="A103" s="18" t="s">
        <v>122</v>
      </c>
      <c r="B103" s="19">
        <v>28</v>
      </c>
      <c r="C103" s="16" t="str">
        <f t="shared" si="1"/>
        <v>26–30</v>
      </c>
      <c r="D103" s="19" t="s">
        <v>13</v>
      </c>
      <c r="E103" s="19">
        <v>6.3</v>
      </c>
      <c r="F103" s="19">
        <v>5</v>
      </c>
      <c r="G103" s="19">
        <v>7</v>
      </c>
      <c r="H103" s="19">
        <v>2</v>
      </c>
      <c r="I103" s="19">
        <v>2</v>
      </c>
      <c r="J103" s="19" t="s">
        <v>14</v>
      </c>
      <c r="K103" s="19">
        <v>7</v>
      </c>
      <c r="L103" s="20"/>
    </row>
    <row r="104" spans="1:12">
      <c r="A104" s="15" t="s">
        <v>123</v>
      </c>
      <c r="B104" s="16">
        <v>47</v>
      </c>
      <c r="C104" s="16" t="str">
        <f t="shared" si="1"/>
        <v>46+</v>
      </c>
      <c r="D104" s="16" t="s">
        <v>13</v>
      </c>
      <c r="E104" s="16">
        <v>5.9</v>
      </c>
      <c r="F104" s="16">
        <v>4</v>
      </c>
      <c r="G104" s="16">
        <v>7</v>
      </c>
      <c r="H104" s="16">
        <v>2</v>
      </c>
      <c r="I104" s="16">
        <v>4</v>
      </c>
      <c r="J104" s="16" t="s">
        <v>28</v>
      </c>
      <c r="K104" s="16">
        <v>7</v>
      </c>
      <c r="L104" s="21"/>
    </row>
    <row r="105" spans="1:12">
      <c r="A105" s="18" t="s">
        <v>124</v>
      </c>
      <c r="B105" s="19">
        <v>47</v>
      </c>
      <c r="C105" s="16" t="str">
        <f t="shared" si="1"/>
        <v>46+</v>
      </c>
      <c r="D105" s="19" t="s">
        <v>13</v>
      </c>
      <c r="E105" s="19">
        <v>6</v>
      </c>
      <c r="F105" s="19">
        <v>6</v>
      </c>
      <c r="G105" s="19">
        <v>7</v>
      </c>
      <c r="H105" s="19">
        <v>6</v>
      </c>
      <c r="I105" s="19">
        <v>2</v>
      </c>
      <c r="J105" s="19" t="s">
        <v>14</v>
      </c>
      <c r="K105" s="19">
        <v>9</v>
      </c>
      <c r="L105" s="20"/>
    </row>
    <row r="106" spans="1:12">
      <c r="A106" s="15" t="s">
        <v>125</v>
      </c>
      <c r="B106" s="16">
        <v>19</v>
      </c>
      <c r="C106" s="16" t="str">
        <f t="shared" si="1"/>
        <v>16–20</v>
      </c>
      <c r="D106" s="16" t="s">
        <v>13</v>
      </c>
      <c r="E106" s="16">
        <v>7.2</v>
      </c>
      <c r="F106" s="16">
        <v>5</v>
      </c>
      <c r="G106" s="16">
        <v>6</v>
      </c>
      <c r="H106" s="16">
        <v>1</v>
      </c>
      <c r="I106" s="16">
        <v>0</v>
      </c>
      <c r="J106" s="16" t="s">
        <v>17</v>
      </c>
      <c r="K106" s="16">
        <v>9</v>
      </c>
      <c r="L106" s="21"/>
    </row>
    <row r="107" spans="1:12">
      <c r="A107" s="18" t="s">
        <v>126</v>
      </c>
      <c r="B107" s="19">
        <v>45</v>
      </c>
      <c r="C107" s="16" t="str">
        <f t="shared" si="1"/>
        <v>41-45</v>
      </c>
      <c r="D107" s="19" t="s">
        <v>13</v>
      </c>
      <c r="E107" s="19">
        <v>6.3</v>
      </c>
      <c r="F107" s="19">
        <v>7</v>
      </c>
      <c r="G107" s="19">
        <v>8</v>
      </c>
      <c r="H107" s="19">
        <v>0</v>
      </c>
      <c r="I107" s="19">
        <v>2</v>
      </c>
      <c r="J107" s="19" t="s">
        <v>17</v>
      </c>
      <c r="K107" s="19">
        <v>6</v>
      </c>
      <c r="L107" s="20"/>
    </row>
    <row r="108" spans="1:12">
      <c r="A108" s="15" t="s">
        <v>127</v>
      </c>
      <c r="B108" s="16">
        <v>38</v>
      </c>
      <c r="C108" s="16" t="str">
        <f t="shared" si="1"/>
        <v>36-40</v>
      </c>
      <c r="D108" s="16" t="s">
        <v>13</v>
      </c>
      <c r="E108" s="16">
        <v>6.2</v>
      </c>
      <c r="F108" s="16">
        <v>7</v>
      </c>
      <c r="G108" s="16">
        <v>7</v>
      </c>
      <c r="H108" s="16">
        <v>1</v>
      </c>
      <c r="I108" s="16">
        <v>3</v>
      </c>
      <c r="J108" s="16" t="s">
        <v>28</v>
      </c>
      <c r="K108" s="16">
        <v>9</v>
      </c>
      <c r="L108" s="21"/>
    </row>
    <row r="109" spans="1:12">
      <c r="A109" s="18" t="s">
        <v>128</v>
      </c>
      <c r="B109" s="19">
        <v>30</v>
      </c>
      <c r="C109" s="16" t="str">
        <f t="shared" si="1"/>
        <v>26–30</v>
      </c>
      <c r="D109" s="19" t="s">
        <v>13</v>
      </c>
      <c r="E109" s="19">
        <v>6.8</v>
      </c>
      <c r="F109" s="19">
        <v>7</v>
      </c>
      <c r="G109" s="19">
        <v>7</v>
      </c>
      <c r="H109" s="19">
        <v>2</v>
      </c>
      <c r="I109" s="19">
        <v>1</v>
      </c>
      <c r="J109" s="19" t="s">
        <v>24</v>
      </c>
      <c r="K109" s="19">
        <v>10</v>
      </c>
      <c r="L109" s="20"/>
    </row>
    <row r="110" spans="1:12">
      <c r="A110" s="15" t="s">
        <v>129</v>
      </c>
      <c r="B110" s="16">
        <v>44</v>
      </c>
      <c r="C110" s="16" t="str">
        <f t="shared" si="1"/>
        <v>41-45</v>
      </c>
      <c r="D110" s="16" t="s">
        <v>13</v>
      </c>
      <c r="E110" s="16">
        <v>6.4</v>
      </c>
      <c r="F110" s="16">
        <v>6</v>
      </c>
      <c r="G110" s="16">
        <v>8</v>
      </c>
      <c r="H110" s="16">
        <v>0</v>
      </c>
      <c r="I110" s="16">
        <v>1</v>
      </c>
      <c r="J110" s="16" t="s">
        <v>17</v>
      </c>
      <c r="K110" s="16">
        <v>7</v>
      </c>
      <c r="L110" s="21"/>
    </row>
    <row r="111" spans="1:12">
      <c r="A111" s="18" t="s">
        <v>130</v>
      </c>
      <c r="B111" s="19">
        <v>28</v>
      </c>
      <c r="C111" s="16" t="str">
        <f t="shared" si="1"/>
        <v>26–30</v>
      </c>
      <c r="D111" s="19" t="s">
        <v>13</v>
      </c>
      <c r="E111" s="19">
        <v>7</v>
      </c>
      <c r="F111" s="19">
        <v>6</v>
      </c>
      <c r="G111" s="19">
        <v>6</v>
      </c>
      <c r="H111" s="19">
        <v>3</v>
      </c>
      <c r="I111" s="19">
        <v>2</v>
      </c>
      <c r="J111" s="19" t="s">
        <v>24</v>
      </c>
      <c r="K111" s="19">
        <v>8</v>
      </c>
      <c r="L111" s="20"/>
    </row>
    <row r="112" spans="1:12">
      <c r="A112" s="15" t="s">
        <v>131</v>
      </c>
      <c r="B112" s="16">
        <v>47</v>
      </c>
      <c r="C112" s="16" t="str">
        <f t="shared" si="1"/>
        <v>46+</v>
      </c>
      <c r="D112" s="16" t="s">
        <v>13</v>
      </c>
      <c r="E112" s="16">
        <v>7.3</v>
      </c>
      <c r="F112" s="16">
        <v>4</v>
      </c>
      <c r="G112" s="16">
        <v>6</v>
      </c>
      <c r="H112" s="16">
        <v>5</v>
      </c>
      <c r="I112" s="16">
        <v>4</v>
      </c>
      <c r="J112" s="16" t="s">
        <v>22</v>
      </c>
      <c r="K112" s="16">
        <v>8</v>
      </c>
      <c r="L112" s="21"/>
    </row>
    <row r="113" spans="1:12">
      <c r="A113" s="18" t="s">
        <v>132</v>
      </c>
      <c r="B113" s="19">
        <v>22</v>
      </c>
      <c r="C113" s="16" t="str">
        <f t="shared" si="1"/>
        <v>21–25</v>
      </c>
      <c r="D113" s="19" t="s">
        <v>21</v>
      </c>
      <c r="E113" s="19">
        <v>8.3000000000000007</v>
      </c>
      <c r="F113" s="19">
        <v>5</v>
      </c>
      <c r="G113" s="19">
        <v>10</v>
      </c>
      <c r="H113" s="19">
        <v>0</v>
      </c>
      <c r="I113" s="19">
        <v>2</v>
      </c>
      <c r="J113" s="19" t="s">
        <v>28</v>
      </c>
      <c r="K113" s="19">
        <v>6</v>
      </c>
      <c r="L113" s="20"/>
    </row>
    <row r="114" spans="1:12">
      <c r="A114" s="15" t="s">
        <v>133</v>
      </c>
      <c r="B114" s="16">
        <v>37</v>
      </c>
      <c r="C114" s="16" t="str">
        <f t="shared" si="1"/>
        <v>36-40</v>
      </c>
      <c r="D114" s="16" t="s">
        <v>21</v>
      </c>
      <c r="E114" s="16">
        <v>4.3</v>
      </c>
      <c r="F114" s="16">
        <v>6</v>
      </c>
      <c r="G114" s="16">
        <v>8</v>
      </c>
      <c r="H114" s="16">
        <v>3</v>
      </c>
      <c r="I114" s="16">
        <v>5</v>
      </c>
      <c r="J114" s="16" t="s">
        <v>17</v>
      </c>
      <c r="K114" s="16">
        <v>9</v>
      </c>
      <c r="L114" s="21"/>
    </row>
    <row r="115" spans="1:12">
      <c r="A115" s="18" t="s">
        <v>134</v>
      </c>
      <c r="B115" s="19">
        <v>43</v>
      </c>
      <c r="C115" s="16" t="str">
        <f t="shared" si="1"/>
        <v>41-45</v>
      </c>
      <c r="D115" s="19" t="s">
        <v>13</v>
      </c>
      <c r="E115" s="19">
        <v>6.4</v>
      </c>
      <c r="F115" s="19">
        <v>6</v>
      </c>
      <c r="G115" s="19">
        <v>7</v>
      </c>
      <c r="H115" s="19">
        <v>4</v>
      </c>
      <c r="I115" s="19">
        <v>2</v>
      </c>
      <c r="J115" s="19" t="s">
        <v>19</v>
      </c>
      <c r="K115" s="19">
        <v>7</v>
      </c>
      <c r="L115" s="20"/>
    </row>
    <row r="116" spans="1:12">
      <c r="A116" s="15" t="s">
        <v>135</v>
      </c>
      <c r="B116" s="16">
        <v>17</v>
      </c>
      <c r="C116" s="16" t="str">
        <f t="shared" si="1"/>
        <v>16–20</v>
      </c>
      <c r="D116" s="16" t="s">
        <v>21</v>
      </c>
      <c r="E116" s="16">
        <v>4.8</v>
      </c>
      <c r="F116" s="16">
        <v>7</v>
      </c>
      <c r="G116" s="16">
        <v>6</v>
      </c>
      <c r="H116" s="16">
        <v>3</v>
      </c>
      <c r="I116" s="16">
        <v>3</v>
      </c>
      <c r="J116" s="16" t="s">
        <v>22</v>
      </c>
      <c r="K116" s="16">
        <v>10</v>
      </c>
      <c r="L116" s="21"/>
    </row>
    <row r="117" spans="1:12">
      <c r="A117" s="18" t="s">
        <v>136</v>
      </c>
      <c r="B117" s="19">
        <v>21</v>
      </c>
      <c r="C117" s="16" t="str">
        <f t="shared" si="1"/>
        <v>21–25</v>
      </c>
      <c r="D117" s="19" t="s">
        <v>21</v>
      </c>
      <c r="E117" s="19">
        <v>4</v>
      </c>
      <c r="F117" s="19">
        <v>9</v>
      </c>
      <c r="G117" s="19">
        <v>5</v>
      </c>
      <c r="H117" s="19">
        <v>3</v>
      </c>
      <c r="I117" s="19">
        <v>2</v>
      </c>
      <c r="J117" s="19" t="s">
        <v>24</v>
      </c>
      <c r="K117" s="19">
        <v>10</v>
      </c>
      <c r="L117" s="20"/>
    </row>
    <row r="118" spans="1:12">
      <c r="A118" s="15" t="s">
        <v>137</v>
      </c>
      <c r="B118" s="16">
        <v>43</v>
      </c>
      <c r="C118" s="16" t="str">
        <f t="shared" si="1"/>
        <v>41-45</v>
      </c>
      <c r="D118" s="16" t="s">
        <v>13</v>
      </c>
      <c r="E118" s="16">
        <v>4.3</v>
      </c>
      <c r="F118" s="16">
        <v>7</v>
      </c>
      <c r="G118" s="16">
        <v>6</v>
      </c>
      <c r="H118" s="16">
        <v>3</v>
      </c>
      <c r="I118" s="16">
        <v>4</v>
      </c>
      <c r="J118" s="16" t="s">
        <v>17</v>
      </c>
      <c r="K118" s="16">
        <v>9</v>
      </c>
      <c r="L118" s="21"/>
    </row>
    <row r="119" spans="1:12">
      <c r="A119" s="18" t="s">
        <v>138</v>
      </c>
      <c r="B119" s="19">
        <v>43</v>
      </c>
      <c r="C119" s="16" t="str">
        <f t="shared" si="1"/>
        <v>41-45</v>
      </c>
      <c r="D119" s="19" t="s">
        <v>21</v>
      </c>
      <c r="E119" s="19">
        <v>6.4</v>
      </c>
      <c r="F119" s="19">
        <v>6</v>
      </c>
      <c r="G119" s="19">
        <v>7</v>
      </c>
      <c r="H119" s="19">
        <v>1</v>
      </c>
      <c r="I119" s="19">
        <v>1</v>
      </c>
      <c r="J119" s="19" t="s">
        <v>28</v>
      </c>
      <c r="K119" s="19">
        <v>9</v>
      </c>
      <c r="L119" s="20"/>
    </row>
    <row r="120" spans="1:12">
      <c r="A120" s="15" t="s">
        <v>139</v>
      </c>
      <c r="B120" s="16">
        <v>35</v>
      </c>
      <c r="C120" s="16" t="str">
        <f t="shared" si="1"/>
        <v>31-35</v>
      </c>
      <c r="D120" s="16" t="s">
        <v>21</v>
      </c>
      <c r="E120" s="16">
        <v>6.3</v>
      </c>
      <c r="F120" s="16">
        <v>6</v>
      </c>
      <c r="G120" s="16">
        <v>7</v>
      </c>
      <c r="H120" s="16">
        <v>6</v>
      </c>
      <c r="I120" s="16">
        <v>4</v>
      </c>
      <c r="J120" s="16" t="s">
        <v>14</v>
      </c>
      <c r="K120" s="16">
        <v>9</v>
      </c>
      <c r="L120" s="21"/>
    </row>
    <row r="121" spans="1:12">
      <c r="A121" s="18" t="s">
        <v>140</v>
      </c>
      <c r="B121" s="19">
        <v>45</v>
      </c>
      <c r="C121" s="16" t="str">
        <f t="shared" si="1"/>
        <v>41-45</v>
      </c>
      <c r="D121" s="19" t="s">
        <v>13</v>
      </c>
      <c r="E121" s="19">
        <v>6.2</v>
      </c>
      <c r="F121" s="19">
        <v>5</v>
      </c>
      <c r="G121" s="19">
        <v>8</v>
      </c>
      <c r="H121" s="19">
        <v>5</v>
      </c>
      <c r="I121" s="19">
        <v>3</v>
      </c>
      <c r="J121" s="19" t="s">
        <v>19</v>
      </c>
      <c r="K121" s="19">
        <v>8</v>
      </c>
      <c r="L121" s="20"/>
    </row>
    <row r="122" spans="1:12">
      <c r="A122" s="15" t="s">
        <v>141</v>
      </c>
      <c r="B122" s="16">
        <v>26</v>
      </c>
      <c r="C122" s="16" t="str">
        <f t="shared" si="1"/>
        <v>26–30</v>
      </c>
      <c r="D122" s="16" t="s">
        <v>13</v>
      </c>
      <c r="E122" s="16">
        <v>5.0999999999999996</v>
      </c>
      <c r="F122" s="16">
        <v>6</v>
      </c>
      <c r="G122" s="16">
        <v>5</v>
      </c>
      <c r="H122" s="16">
        <v>5</v>
      </c>
      <c r="I122" s="16">
        <v>2</v>
      </c>
      <c r="J122" s="16" t="s">
        <v>24</v>
      </c>
      <c r="K122" s="16">
        <v>9</v>
      </c>
      <c r="L122" s="21"/>
    </row>
    <row r="123" spans="1:12">
      <c r="A123" s="18" t="s">
        <v>142</v>
      </c>
      <c r="B123" s="19">
        <v>43</v>
      </c>
      <c r="C123" s="16" t="str">
        <f t="shared" si="1"/>
        <v>41-45</v>
      </c>
      <c r="D123" s="19" t="s">
        <v>21</v>
      </c>
      <c r="E123" s="19">
        <v>5.5</v>
      </c>
      <c r="F123" s="19">
        <v>8</v>
      </c>
      <c r="G123" s="19">
        <v>6</v>
      </c>
      <c r="H123" s="19">
        <v>5</v>
      </c>
      <c r="I123" s="19">
        <v>2</v>
      </c>
      <c r="J123" s="19" t="s">
        <v>22</v>
      </c>
      <c r="K123" s="19">
        <v>10</v>
      </c>
      <c r="L123" s="20"/>
    </row>
    <row r="124" spans="1:12">
      <c r="A124" s="15" t="s">
        <v>143</v>
      </c>
      <c r="B124" s="16">
        <v>40</v>
      </c>
      <c r="C124" s="16" t="str">
        <f t="shared" si="1"/>
        <v>36-40</v>
      </c>
      <c r="D124" s="16" t="s">
        <v>21</v>
      </c>
      <c r="E124" s="16">
        <v>7</v>
      </c>
      <c r="F124" s="16">
        <v>4</v>
      </c>
      <c r="G124" s="16">
        <v>6</v>
      </c>
      <c r="H124" s="16">
        <v>0</v>
      </c>
      <c r="I124" s="16">
        <v>5</v>
      </c>
      <c r="J124" s="16" t="s">
        <v>28</v>
      </c>
      <c r="K124" s="16">
        <v>8</v>
      </c>
      <c r="L124" s="21"/>
    </row>
    <row r="125" spans="1:12">
      <c r="A125" s="18" t="s">
        <v>144</v>
      </c>
      <c r="B125" s="19">
        <v>48</v>
      </c>
      <c r="C125" s="16" t="str">
        <f t="shared" si="1"/>
        <v>46+</v>
      </c>
      <c r="D125" s="19" t="s">
        <v>13</v>
      </c>
      <c r="E125" s="19">
        <v>2.8</v>
      </c>
      <c r="F125" s="19">
        <v>7</v>
      </c>
      <c r="G125" s="19">
        <v>5</v>
      </c>
      <c r="H125" s="19">
        <v>5</v>
      </c>
      <c r="I125" s="19">
        <v>3</v>
      </c>
      <c r="J125" s="19" t="s">
        <v>19</v>
      </c>
      <c r="K125" s="19">
        <v>10</v>
      </c>
      <c r="L125" s="20"/>
    </row>
    <row r="126" spans="1:12">
      <c r="A126" s="15" t="s">
        <v>145</v>
      </c>
      <c r="B126" s="16">
        <v>16</v>
      </c>
      <c r="C126" s="16" t="str">
        <f t="shared" si="1"/>
        <v>16–20</v>
      </c>
      <c r="D126" s="16" t="s">
        <v>13</v>
      </c>
      <c r="E126" s="16">
        <v>5.5</v>
      </c>
      <c r="F126" s="16">
        <v>7</v>
      </c>
      <c r="G126" s="16">
        <v>7</v>
      </c>
      <c r="H126" s="16">
        <v>4</v>
      </c>
      <c r="I126" s="16">
        <v>1</v>
      </c>
      <c r="J126" s="16" t="s">
        <v>28</v>
      </c>
      <c r="K126" s="16">
        <v>9</v>
      </c>
      <c r="L126" s="21"/>
    </row>
    <row r="127" spans="1:12">
      <c r="A127" s="18" t="s">
        <v>146</v>
      </c>
      <c r="B127" s="19">
        <v>42</v>
      </c>
      <c r="C127" s="16" t="str">
        <f t="shared" si="1"/>
        <v>41-45</v>
      </c>
      <c r="D127" s="19" t="s">
        <v>13</v>
      </c>
      <c r="E127" s="19">
        <v>5.7</v>
      </c>
      <c r="F127" s="19">
        <v>7</v>
      </c>
      <c r="G127" s="19">
        <v>7</v>
      </c>
      <c r="H127" s="19">
        <v>0</v>
      </c>
      <c r="I127" s="19">
        <v>1</v>
      </c>
      <c r="J127" s="19" t="s">
        <v>17</v>
      </c>
      <c r="K127" s="19">
        <v>9</v>
      </c>
      <c r="L127" s="20"/>
    </row>
    <row r="128" spans="1:12">
      <c r="A128" s="15" t="s">
        <v>147</v>
      </c>
      <c r="B128" s="16">
        <v>28</v>
      </c>
      <c r="C128" s="16" t="str">
        <f t="shared" si="1"/>
        <v>26–30</v>
      </c>
      <c r="D128" s="16" t="s">
        <v>21</v>
      </c>
      <c r="E128" s="16">
        <v>6.9</v>
      </c>
      <c r="F128" s="16">
        <v>5</v>
      </c>
      <c r="G128" s="16">
        <v>8</v>
      </c>
      <c r="H128" s="16">
        <v>3</v>
      </c>
      <c r="I128" s="16">
        <v>3</v>
      </c>
      <c r="J128" s="16" t="s">
        <v>14</v>
      </c>
      <c r="K128" s="16">
        <v>8</v>
      </c>
      <c r="L128" s="21"/>
    </row>
    <row r="129" spans="1:12">
      <c r="A129" s="18" t="s">
        <v>148</v>
      </c>
      <c r="B129" s="19">
        <v>18</v>
      </c>
      <c r="C129" s="16" t="str">
        <f t="shared" si="1"/>
        <v>16–20</v>
      </c>
      <c r="D129" s="19" t="s">
        <v>21</v>
      </c>
      <c r="E129" s="19">
        <v>3.1</v>
      </c>
      <c r="F129" s="19">
        <v>7</v>
      </c>
      <c r="G129" s="19">
        <v>6</v>
      </c>
      <c r="H129" s="19">
        <v>4</v>
      </c>
      <c r="I129" s="19">
        <v>3</v>
      </c>
      <c r="J129" s="19" t="s">
        <v>22</v>
      </c>
      <c r="K129" s="19">
        <v>9</v>
      </c>
      <c r="L129" s="20"/>
    </row>
    <row r="130" spans="1:12">
      <c r="A130" s="15" t="s">
        <v>149</v>
      </c>
      <c r="B130" s="16">
        <v>21</v>
      </c>
      <c r="C130" s="16" t="str">
        <f t="shared" si="1"/>
        <v>21–25</v>
      </c>
      <c r="D130" s="16" t="s">
        <v>13</v>
      </c>
      <c r="E130" s="16">
        <v>8.1999999999999993</v>
      </c>
      <c r="F130" s="16">
        <v>5</v>
      </c>
      <c r="G130" s="16">
        <v>7</v>
      </c>
      <c r="H130" s="16">
        <v>6</v>
      </c>
      <c r="I130" s="16">
        <v>4</v>
      </c>
      <c r="J130" s="16" t="s">
        <v>28</v>
      </c>
      <c r="K130" s="16">
        <v>7</v>
      </c>
      <c r="L130" s="21"/>
    </row>
    <row r="131" spans="1:12">
      <c r="A131" s="18" t="s">
        <v>150</v>
      </c>
      <c r="B131" s="19">
        <v>23</v>
      </c>
      <c r="C131" s="16" t="str">
        <f t="shared" ref="C131:C194" si="2">IF(B131&lt;=20,"16–20",IF(B131&lt;=25,"21–25",IF(B131&lt;=30,"26–30",IF(B131&lt;=35,"31-35",IF(B131&lt;=40,"36-40",IF(B131&lt;=45,"41-45","46+"))))))</f>
        <v>21–25</v>
      </c>
      <c r="D131" s="19" t="s">
        <v>13</v>
      </c>
      <c r="E131" s="19">
        <v>5.9</v>
      </c>
      <c r="F131" s="19">
        <v>5</v>
      </c>
      <c r="G131" s="19">
        <v>5</v>
      </c>
      <c r="H131" s="19">
        <v>4</v>
      </c>
      <c r="I131" s="19">
        <v>0</v>
      </c>
      <c r="J131" s="19" t="s">
        <v>24</v>
      </c>
      <c r="K131" s="19">
        <v>9</v>
      </c>
      <c r="L131" s="20"/>
    </row>
    <row r="132" spans="1:12">
      <c r="A132" s="15" t="s">
        <v>151</v>
      </c>
      <c r="B132" s="16">
        <v>42</v>
      </c>
      <c r="C132" s="16" t="str">
        <f t="shared" si="2"/>
        <v>41-45</v>
      </c>
      <c r="D132" s="16" t="s">
        <v>21</v>
      </c>
      <c r="E132" s="16">
        <v>6</v>
      </c>
      <c r="F132" s="16">
        <v>5</v>
      </c>
      <c r="G132" s="16">
        <v>8</v>
      </c>
      <c r="H132" s="16">
        <v>1</v>
      </c>
      <c r="I132" s="16">
        <v>1</v>
      </c>
      <c r="J132" s="16" t="s">
        <v>17</v>
      </c>
      <c r="K132" s="16">
        <v>7</v>
      </c>
      <c r="L132" s="21"/>
    </row>
    <row r="133" spans="1:12">
      <c r="A133" s="18" t="s">
        <v>152</v>
      </c>
      <c r="B133" s="19">
        <v>24</v>
      </c>
      <c r="C133" s="16" t="str">
        <f t="shared" si="2"/>
        <v>21–25</v>
      </c>
      <c r="D133" s="19" t="s">
        <v>13</v>
      </c>
      <c r="E133" s="19">
        <v>4.8</v>
      </c>
      <c r="F133" s="19">
        <v>8</v>
      </c>
      <c r="G133" s="19">
        <v>4</v>
      </c>
      <c r="H133" s="19">
        <v>6</v>
      </c>
      <c r="I133" s="19">
        <v>4</v>
      </c>
      <c r="J133" s="19" t="s">
        <v>17</v>
      </c>
      <c r="K133" s="19">
        <v>10</v>
      </c>
      <c r="L133" s="20"/>
    </row>
    <row r="134" spans="1:12">
      <c r="A134" s="15" t="s">
        <v>153</v>
      </c>
      <c r="B134" s="16">
        <v>48</v>
      </c>
      <c r="C134" s="16" t="str">
        <f t="shared" si="2"/>
        <v>46+</v>
      </c>
      <c r="D134" s="16" t="s">
        <v>13</v>
      </c>
      <c r="E134" s="16">
        <v>6.5</v>
      </c>
      <c r="F134" s="16">
        <v>6</v>
      </c>
      <c r="G134" s="16">
        <v>8</v>
      </c>
      <c r="H134" s="16">
        <v>3</v>
      </c>
      <c r="I134" s="16">
        <v>3</v>
      </c>
      <c r="J134" s="16" t="s">
        <v>22</v>
      </c>
      <c r="K134" s="16">
        <v>8</v>
      </c>
      <c r="L134" s="21"/>
    </row>
    <row r="135" spans="1:12">
      <c r="A135" s="18" t="s">
        <v>154</v>
      </c>
      <c r="B135" s="19">
        <v>39</v>
      </c>
      <c r="C135" s="16" t="str">
        <f t="shared" si="2"/>
        <v>36-40</v>
      </c>
      <c r="D135" s="19" t="s">
        <v>21</v>
      </c>
      <c r="E135" s="19">
        <v>5.6</v>
      </c>
      <c r="F135" s="19">
        <v>8</v>
      </c>
      <c r="G135" s="19">
        <v>6</v>
      </c>
      <c r="H135" s="19">
        <v>2</v>
      </c>
      <c r="I135" s="19">
        <v>3</v>
      </c>
      <c r="J135" s="19" t="s">
        <v>17</v>
      </c>
      <c r="K135" s="19">
        <v>9</v>
      </c>
      <c r="L135" s="20"/>
    </row>
    <row r="136" spans="1:12">
      <c r="A136" s="15" t="s">
        <v>155</v>
      </c>
      <c r="B136" s="16">
        <v>30</v>
      </c>
      <c r="C136" s="16" t="str">
        <f t="shared" si="2"/>
        <v>26–30</v>
      </c>
      <c r="D136" s="16" t="s">
        <v>21</v>
      </c>
      <c r="E136" s="16">
        <v>7.7</v>
      </c>
      <c r="F136" s="16">
        <v>4</v>
      </c>
      <c r="G136" s="16">
        <v>10</v>
      </c>
      <c r="H136" s="16">
        <v>2</v>
      </c>
      <c r="I136" s="16">
        <v>1</v>
      </c>
      <c r="J136" s="16" t="s">
        <v>24</v>
      </c>
      <c r="K136" s="16">
        <v>8</v>
      </c>
      <c r="L136" s="21"/>
    </row>
    <row r="137" spans="1:12">
      <c r="A137" s="18" t="s">
        <v>156</v>
      </c>
      <c r="B137" s="19">
        <v>47</v>
      </c>
      <c r="C137" s="16" t="str">
        <f t="shared" si="2"/>
        <v>46+</v>
      </c>
      <c r="D137" s="19" t="s">
        <v>21</v>
      </c>
      <c r="E137" s="19">
        <v>2.9</v>
      </c>
      <c r="F137" s="19">
        <v>8</v>
      </c>
      <c r="G137" s="19">
        <v>5</v>
      </c>
      <c r="H137" s="19">
        <v>0</v>
      </c>
      <c r="I137" s="19">
        <v>1</v>
      </c>
      <c r="J137" s="19" t="s">
        <v>28</v>
      </c>
      <c r="K137" s="19">
        <v>10</v>
      </c>
      <c r="L137" s="20"/>
    </row>
    <row r="138" spans="1:12">
      <c r="A138" s="15" t="s">
        <v>157</v>
      </c>
      <c r="B138" s="16">
        <v>47</v>
      </c>
      <c r="C138" s="16" t="str">
        <f t="shared" si="2"/>
        <v>46+</v>
      </c>
      <c r="D138" s="16" t="s">
        <v>21</v>
      </c>
      <c r="E138" s="16">
        <v>5.8</v>
      </c>
      <c r="F138" s="16">
        <v>6</v>
      </c>
      <c r="G138" s="16">
        <v>7</v>
      </c>
      <c r="H138" s="16">
        <v>3</v>
      </c>
      <c r="I138" s="16">
        <v>4</v>
      </c>
      <c r="J138" s="16" t="s">
        <v>22</v>
      </c>
      <c r="K138" s="16">
        <v>10</v>
      </c>
      <c r="L138" s="21"/>
    </row>
    <row r="139" spans="1:12">
      <c r="A139" s="18" t="s">
        <v>158</v>
      </c>
      <c r="B139" s="19">
        <v>39</v>
      </c>
      <c r="C139" s="16" t="str">
        <f t="shared" si="2"/>
        <v>36-40</v>
      </c>
      <c r="D139" s="19" t="s">
        <v>13</v>
      </c>
      <c r="E139" s="19">
        <v>6.2</v>
      </c>
      <c r="F139" s="19">
        <v>5</v>
      </c>
      <c r="G139" s="19">
        <v>8</v>
      </c>
      <c r="H139" s="19">
        <v>4</v>
      </c>
      <c r="I139" s="19">
        <v>4</v>
      </c>
      <c r="J139" s="19" t="s">
        <v>17</v>
      </c>
      <c r="K139" s="19">
        <v>7</v>
      </c>
      <c r="L139" s="20"/>
    </row>
    <row r="140" spans="1:12">
      <c r="A140" s="15" t="s">
        <v>159</v>
      </c>
      <c r="B140" s="16">
        <v>27</v>
      </c>
      <c r="C140" s="16" t="str">
        <f t="shared" si="2"/>
        <v>26–30</v>
      </c>
      <c r="D140" s="16" t="s">
        <v>13</v>
      </c>
      <c r="E140" s="16">
        <v>5.2</v>
      </c>
      <c r="F140" s="16">
        <v>7</v>
      </c>
      <c r="G140" s="16">
        <v>5</v>
      </c>
      <c r="H140" s="16">
        <v>2</v>
      </c>
      <c r="I140" s="16">
        <v>1</v>
      </c>
      <c r="J140" s="16" t="s">
        <v>17</v>
      </c>
      <c r="K140" s="16">
        <v>10</v>
      </c>
      <c r="L140" s="21"/>
    </row>
    <row r="141" spans="1:12">
      <c r="A141" s="18" t="s">
        <v>160</v>
      </c>
      <c r="B141" s="19">
        <v>17</v>
      </c>
      <c r="C141" s="16" t="str">
        <f t="shared" si="2"/>
        <v>16–20</v>
      </c>
      <c r="D141" s="19" t="s">
        <v>21</v>
      </c>
      <c r="E141" s="19">
        <v>4.8</v>
      </c>
      <c r="F141" s="19">
        <v>8</v>
      </c>
      <c r="G141" s="19">
        <v>5</v>
      </c>
      <c r="H141" s="19">
        <v>4</v>
      </c>
      <c r="I141" s="19">
        <v>1</v>
      </c>
      <c r="J141" s="19" t="s">
        <v>24</v>
      </c>
      <c r="K141" s="19">
        <v>10</v>
      </c>
      <c r="L141" s="20"/>
    </row>
    <row r="142" spans="1:12">
      <c r="A142" s="15" t="s">
        <v>161</v>
      </c>
      <c r="B142" s="16">
        <v>18</v>
      </c>
      <c r="C142" s="16" t="str">
        <f t="shared" si="2"/>
        <v>16–20</v>
      </c>
      <c r="D142" s="16" t="s">
        <v>13</v>
      </c>
      <c r="E142" s="16">
        <v>4.8</v>
      </c>
      <c r="F142" s="16">
        <v>6</v>
      </c>
      <c r="G142" s="16">
        <v>5</v>
      </c>
      <c r="H142" s="16">
        <v>1</v>
      </c>
      <c r="I142" s="16">
        <v>2</v>
      </c>
      <c r="J142" s="16" t="s">
        <v>14</v>
      </c>
      <c r="K142" s="16">
        <v>10</v>
      </c>
      <c r="L142" s="21"/>
    </row>
    <row r="143" spans="1:12">
      <c r="A143" s="18" t="s">
        <v>162</v>
      </c>
      <c r="B143" s="19">
        <v>32</v>
      </c>
      <c r="C143" s="16" t="str">
        <f t="shared" si="2"/>
        <v>31-35</v>
      </c>
      <c r="D143" s="19" t="s">
        <v>13</v>
      </c>
      <c r="E143" s="19">
        <v>5.8</v>
      </c>
      <c r="F143" s="19">
        <v>6</v>
      </c>
      <c r="G143" s="19">
        <v>6</v>
      </c>
      <c r="H143" s="19">
        <v>3</v>
      </c>
      <c r="I143" s="19">
        <v>1</v>
      </c>
      <c r="J143" s="19" t="s">
        <v>14</v>
      </c>
      <c r="K143" s="19">
        <v>10</v>
      </c>
      <c r="L143" s="20"/>
    </row>
    <row r="144" spans="1:12">
      <c r="A144" s="15" t="s">
        <v>163</v>
      </c>
      <c r="B144" s="16">
        <v>17</v>
      </c>
      <c r="C144" s="16" t="str">
        <f t="shared" si="2"/>
        <v>16–20</v>
      </c>
      <c r="D144" s="16" t="s">
        <v>13</v>
      </c>
      <c r="E144" s="16">
        <v>2.2000000000000002</v>
      </c>
      <c r="F144" s="16">
        <v>10</v>
      </c>
      <c r="G144" s="16">
        <v>5</v>
      </c>
      <c r="H144" s="16">
        <v>4</v>
      </c>
      <c r="I144" s="16">
        <v>1</v>
      </c>
      <c r="J144" s="16" t="s">
        <v>17</v>
      </c>
      <c r="K144" s="16">
        <v>10</v>
      </c>
      <c r="L144" s="21"/>
    </row>
    <row r="145" spans="1:12">
      <c r="A145" s="18" t="s">
        <v>164</v>
      </c>
      <c r="B145" s="19">
        <v>17</v>
      </c>
      <c r="C145" s="16" t="str">
        <f t="shared" si="2"/>
        <v>16–20</v>
      </c>
      <c r="D145" s="19" t="s">
        <v>13</v>
      </c>
      <c r="E145" s="19">
        <v>7.2</v>
      </c>
      <c r="F145" s="19">
        <v>7</v>
      </c>
      <c r="G145" s="19">
        <v>8</v>
      </c>
      <c r="H145" s="19">
        <v>3</v>
      </c>
      <c r="I145" s="19">
        <v>1</v>
      </c>
      <c r="J145" s="19" t="s">
        <v>28</v>
      </c>
      <c r="K145" s="19">
        <v>8</v>
      </c>
      <c r="L145" s="20"/>
    </row>
    <row r="146" spans="1:12">
      <c r="A146" s="15" t="s">
        <v>165</v>
      </c>
      <c r="B146" s="16">
        <v>43</v>
      </c>
      <c r="C146" s="16" t="str">
        <f t="shared" si="2"/>
        <v>41-45</v>
      </c>
      <c r="D146" s="16" t="s">
        <v>13</v>
      </c>
      <c r="E146" s="16">
        <v>4.5999999999999996</v>
      </c>
      <c r="F146" s="16">
        <v>8</v>
      </c>
      <c r="G146" s="16">
        <v>7</v>
      </c>
      <c r="H146" s="16">
        <v>0</v>
      </c>
      <c r="I146" s="16">
        <v>2</v>
      </c>
      <c r="J146" s="16" t="s">
        <v>22</v>
      </c>
      <c r="K146" s="16">
        <v>9</v>
      </c>
      <c r="L146" s="21"/>
    </row>
    <row r="147" spans="1:12">
      <c r="A147" s="18" t="s">
        <v>166</v>
      </c>
      <c r="B147" s="19">
        <v>38</v>
      </c>
      <c r="C147" s="16" t="str">
        <f t="shared" si="2"/>
        <v>36-40</v>
      </c>
      <c r="D147" s="19" t="s">
        <v>13</v>
      </c>
      <c r="E147" s="19">
        <v>5.7</v>
      </c>
      <c r="F147" s="19">
        <v>7</v>
      </c>
      <c r="G147" s="19">
        <v>5</v>
      </c>
      <c r="H147" s="19">
        <v>2</v>
      </c>
      <c r="I147" s="19">
        <v>1</v>
      </c>
      <c r="J147" s="19" t="s">
        <v>17</v>
      </c>
      <c r="K147" s="19">
        <v>10</v>
      </c>
      <c r="L147" s="20"/>
    </row>
    <row r="148" spans="1:12">
      <c r="A148" s="15" t="s">
        <v>167</v>
      </c>
      <c r="B148" s="16">
        <v>47</v>
      </c>
      <c r="C148" s="16" t="str">
        <f t="shared" si="2"/>
        <v>46+</v>
      </c>
      <c r="D148" s="16" t="s">
        <v>13</v>
      </c>
      <c r="E148" s="16">
        <v>6.2</v>
      </c>
      <c r="F148" s="16">
        <v>5</v>
      </c>
      <c r="G148" s="16">
        <v>7</v>
      </c>
      <c r="H148" s="16">
        <v>6</v>
      </c>
      <c r="I148" s="16">
        <v>1</v>
      </c>
      <c r="J148" s="16" t="s">
        <v>19</v>
      </c>
      <c r="K148" s="16">
        <v>9</v>
      </c>
      <c r="L148" s="21"/>
    </row>
    <row r="149" spans="1:12">
      <c r="A149" s="18" t="s">
        <v>168</v>
      </c>
      <c r="B149" s="19">
        <v>48</v>
      </c>
      <c r="C149" s="16" t="str">
        <f t="shared" si="2"/>
        <v>46+</v>
      </c>
      <c r="D149" s="19" t="s">
        <v>13</v>
      </c>
      <c r="E149" s="19">
        <v>4.5999999999999996</v>
      </c>
      <c r="F149" s="19">
        <v>7</v>
      </c>
      <c r="G149" s="19">
        <v>5</v>
      </c>
      <c r="H149" s="19">
        <v>2</v>
      </c>
      <c r="I149" s="19">
        <v>3</v>
      </c>
      <c r="J149" s="19" t="s">
        <v>22</v>
      </c>
      <c r="K149" s="19">
        <v>10</v>
      </c>
      <c r="L149" s="20"/>
    </row>
    <row r="150" spans="1:12">
      <c r="A150" s="15" t="s">
        <v>169</v>
      </c>
      <c r="B150" s="16">
        <v>16</v>
      </c>
      <c r="C150" s="16" t="str">
        <f t="shared" si="2"/>
        <v>16–20</v>
      </c>
      <c r="D150" s="16" t="s">
        <v>21</v>
      </c>
      <c r="E150" s="16">
        <v>5.3</v>
      </c>
      <c r="F150" s="16">
        <v>7</v>
      </c>
      <c r="G150" s="16">
        <v>6</v>
      </c>
      <c r="H150" s="16">
        <v>3</v>
      </c>
      <c r="I150" s="16">
        <v>2</v>
      </c>
      <c r="J150" s="16" t="s">
        <v>14</v>
      </c>
      <c r="K150" s="16">
        <v>10</v>
      </c>
      <c r="L150" s="21"/>
    </row>
    <row r="151" spans="1:12">
      <c r="A151" s="18" t="s">
        <v>170</v>
      </c>
      <c r="B151" s="19">
        <v>34</v>
      </c>
      <c r="C151" s="16" t="str">
        <f t="shared" si="2"/>
        <v>31-35</v>
      </c>
      <c r="D151" s="19" t="s">
        <v>21</v>
      </c>
      <c r="E151" s="19">
        <v>1.8</v>
      </c>
      <c r="F151" s="19">
        <v>9</v>
      </c>
      <c r="G151" s="19">
        <v>7</v>
      </c>
      <c r="H151" s="19">
        <v>3</v>
      </c>
      <c r="I151" s="19">
        <v>3</v>
      </c>
      <c r="J151" s="19" t="s">
        <v>17</v>
      </c>
      <c r="K151" s="19">
        <v>10</v>
      </c>
      <c r="L151" s="20"/>
    </row>
    <row r="152" spans="1:12">
      <c r="A152" s="15" t="s">
        <v>171</v>
      </c>
      <c r="B152" s="16">
        <v>17</v>
      </c>
      <c r="C152" s="16" t="str">
        <f t="shared" si="2"/>
        <v>16–20</v>
      </c>
      <c r="D152" s="16" t="s">
        <v>21</v>
      </c>
      <c r="E152" s="16">
        <v>6.8</v>
      </c>
      <c r="F152" s="16">
        <v>5</v>
      </c>
      <c r="G152" s="16">
        <v>8</v>
      </c>
      <c r="H152" s="16">
        <v>6</v>
      </c>
      <c r="I152" s="16">
        <v>0</v>
      </c>
      <c r="J152" s="16" t="s">
        <v>24</v>
      </c>
      <c r="K152" s="16">
        <v>6</v>
      </c>
      <c r="L152" s="21"/>
    </row>
    <row r="153" spans="1:12">
      <c r="A153" s="18" t="s">
        <v>172</v>
      </c>
      <c r="B153" s="19">
        <v>41</v>
      </c>
      <c r="C153" s="16" t="str">
        <f t="shared" si="2"/>
        <v>41-45</v>
      </c>
      <c r="D153" s="19" t="s">
        <v>21</v>
      </c>
      <c r="E153" s="19">
        <v>7.4</v>
      </c>
      <c r="F153" s="19">
        <v>4</v>
      </c>
      <c r="G153" s="19">
        <v>9</v>
      </c>
      <c r="H153" s="19">
        <v>6</v>
      </c>
      <c r="I153" s="19">
        <v>3</v>
      </c>
      <c r="J153" s="19" t="s">
        <v>19</v>
      </c>
      <c r="K153" s="19">
        <v>5</v>
      </c>
      <c r="L153" s="20"/>
    </row>
    <row r="154" spans="1:12">
      <c r="A154" s="15" t="s">
        <v>173</v>
      </c>
      <c r="B154" s="16">
        <v>47</v>
      </c>
      <c r="C154" s="16" t="str">
        <f t="shared" si="2"/>
        <v>46+</v>
      </c>
      <c r="D154" s="16" t="s">
        <v>21</v>
      </c>
      <c r="E154" s="16">
        <v>2.4</v>
      </c>
      <c r="F154" s="16">
        <v>7</v>
      </c>
      <c r="G154" s="16">
        <v>7</v>
      </c>
      <c r="H154" s="16">
        <v>5</v>
      </c>
      <c r="I154" s="16">
        <v>6</v>
      </c>
      <c r="J154" s="16" t="s">
        <v>17</v>
      </c>
      <c r="K154" s="16">
        <v>9</v>
      </c>
      <c r="L154" s="21"/>
    </row>
    <row r="155" spans="1:12">
      <c r="A155" s="18" t="s">
        <v>174</v>
      </c>
      <c r="B155" s="19">
        <v>21</v>
      </c>
      <c r="C155" s="16" t="str">
        <f t="shared" si="2"/>
        <v>21–25</v>
      </c>
      <c r="D155" s="19" t="s">
        <v>13</v>
      </c>
      <c r="E155" s="19">
        <v>4.8</v>
      </c>
      <c r="F155" s="19">
        <v>5</v>
      </c>
      <c r="G155" s="19">
        <v>7</v>
      </c>
      <c r="H155" s="19">
        <v>1</v>
      </c>
      <c r="I155" s="19">
        <v>2</v>
      </c>
      <c r="J155" s="19" t="s">
        <v>28</v>
      </c>
      <c r="K155" s="19">
        <v>8</v>
      </c>
      <c r="L155" s="20"/>
    </row>
    <row r="156" spans="1:12">
      <c r="A156" s="15" t="s">
        <v>175</v>
      </c>
      <c r="B156" s="16">
        <v>47</v>
      </c>
      <c r="C156" s="16" t="str">
        <f t="shared" si="2"/>
        <v>46+</v>
      </c>
      <c r="D156" s="16" t="s">
        <v>21</v>
      </c>
      <c r="E156" s="16">
        <v>3.3</v>
      </c>
      <c r="F156" s="16">
        <v>8</v>
      </c>
      <c r="G156" s="16">
        <v>5</v>
      </c>
      <c r="H156" s="16">
        <v>4</v>
      </c>
      <c r="I156" s="16">
        <v>4</v>
      </c>
      <c r="J156" s="16" t="s">
        <v>19</v>
      </c>
      <c r="K156" s="16">
        <v>10</v>
      </c>
      <c r="L156" s="21"/>
    </row>
    <row r="157" spans="1:12">
      <c r="A157" s="18" t="s">
        <v>176</v>
      </c>
      <c r="B157" s="19">
        <v>19</v>
      </c>
      <c r="C157" s="16" t="str">
        <f t="shared" si="2"/>
        <v>16–20</v>
      </c>
      <c r="D157" s="19" t="s">
        <v>21</v>
      </c>
      <c r="E157" s="19">
        <v>5.2</v>
      </c>
      <c r="F157" s="19">
        <v>7</v>
      </c>
      <c r="G157" s="19">
        <v>5</v>
      </c>
      <c r="H157" s="19">
        <v>4</v>
      </c>
      <c r="I157" s="19">
        <v>4</v>
      </c>
      <c r="J157" s="19" t="s">
        <v>17</v>
      </c>
      <c r="K157" s="19">
        <v>10</v>
      </c>
      <c r="L157" s="20"/>
    </row>
    <row r="158" spans="1:12">
      <c r="A158" s="15" t="s">
        <v>177</v>
      </c>
      <c r="B158" s="16">
        <v>26</v>
      </c>
      <c r="C158" s="16" t="str">
        <f t="shared" si="2"/>
        <v>26–30</v>
      </c>
      <c r="D158" s="16" t="s">
        <v>21</v>
      </c>
      <c r="E158" s="16">
        <v>6.7</v>
      </c>
      <c r="F158" s="16">
        <v>5</v>
      </c>
      <c r="G158" s="16">
        <v>7</v>
      </c>
      <c r="H158" s="16">
        <v>2</v>
      </c>
      <c r="I158" s="16">
        <v>4</v>
      </c>
      <c r="J158" s="16" t="s">
        <v>28</v>
      </c>
      <c r="K158" s="16">
        <v>8</v>
      </c>
      <c r="L158" s="21"/>
    </row>
    <row r="159" spans="1:12">
      <c r="A159" s="18" t="s">
        <v>178</v>
      </c>
      <c r="B159" s="19">
        <v>32</v>
      </c>
      <c r="C159" s="16" t="str">
        <f t="shared" si="2"/>
        <v>31-35</v>
      </c>
      <c r="D159" s="19" t="s">
        <v>13</v>
      </c>
      <c r="E159" s="19">
        <v>7.3</v>
      </c>
      <c r="F159" s="19">
        <v>5</v>
      </c>
      <c r="G159" s="19">
        <v>7</v>
      </c>
      <c r="H159" s="19">
        <v>1</v>
      </c>
      <c r="I159" s="19">
        <v>3</v>
      </c>
      <c r="J159" s="19" t="s">
        <v>19</v>
      </c>
      <c r="K159" s="19">
        <v>8</v>
      </c>
      <c r="L159" s="20"/>
    </row>
    <row r="160" spans="1:12">
      <c r="A160" s="15" t="s">
        <v>179</v>
      </c>
      <c r="B160" s="16">
        <v>39</v>
      </c>
      <c r="C160" s="16" t="str">
        <f t="shared" si="2"/>
        <v>36-40</v>
      </c>
      <c r="D160" s="16" t="s">
        <v>13</v>
      </c>
      <c r="E160" s="16">
        <v>7.5</v>
      </c>
      <c r="F160" s="16">
        <v>5</v>
      </c>
      <c r="G160" s="16">
        <v>6</v>
      </c>
      <c r="H160" s="16">
        <v>6</v>
      </c>
      <c r="I160" s="16">
        <v>3</v>
      </c>
      <c r="J160" s="16" t="s">
        <v>28</v>
      </c>
      <c r="K160" s="16">
        <v>7</v>
      </c>
      <c r="L160" s="21"/>
    </row>
    <row r="161" spans="1:12">
      <c r="A161" s="18" t="s">
        <v>180</v>
      </c>
      <c r="B161" s="19">
        <v>20</v>
      </c>
      <c r="C161" s="16" t="str">
        <f t="shared" si="2"/>
        <v>16–20</v>
      </c>
      <c r="D161" s="19" t="s">
        <v>13</v>
      </c>
      <c r="E161" s="19">
        <v>7.9</v>
      </c>
      <c r="F161" s="19">
        <v>5</v>
      </c>
      <c r="G161" s="19">
        <v>9</v>
      </c>
      <c r="H161" s="19">
        <v>2</v>
      </c>
      <c r="I161" s="19">
        <v>4</v>
      </c>
      <c r="J161" s="19" t="s">
        <v>28</v>
      </c>
      <c r="K161" s="19">
        <v>5</v>
      </c>
      <c r="L161" s="20"/>
    </row>
    <row r="162" spans="1:12">
      <c r="A162" s="15" t="s">
        <v>181</v>
      </c>
      <c r="B162" s="16">
        <v>49</v>
      </c>
      <c r="C162" s="16" t="str">
        <f t="shared" si="2"/>
        <v>46+</v>
      </c>
      <c r="D162" s="16" t="s">
        <v>13</v>
      </c>
      <c r="E162" s="16">
        <v>5.0999999999999996</v>
      </c>
      <c r="F162" s="16">
        <v>5</v>
      </c>
      <c r="G162" s="16">
        <v>7</v>
      </c>
      <c r="H162" s="16">
        <v>6</v>
      </c>
      <c r="I162" s="16">
        <v>3</v>
      </c>
      <c r="J162" s="16" t="s">
        <v>19</v>
      </c>
      <c r="K162" s="16">
        <v>8</v>
      </c>
      <c r="L162" s="21"/>
    </row>
    <row r="163" spans="1:12">
      <c r="A163" s="18" t="s">
        <v>182</v>
      </c>
      <c r="B163" s="19">
        <v>21</v>
      </c>
      <c r="C163" s="16" t="str">
        <f t="shared" si="2"/>
        <v>21–25</v>
      </c>
      <c r="D163" s="19" t="s">
        <v>21</v>
      </c>
      <c r="E163" s="19">
        <v>3.4</v>
      </c>
      <c r="F163" s="19">
        <v>9</v>
      </c>
      <c r="G163" s="19">
        <v>7</v>
      </c>
      <c r="H163" s="19">
        <v>5</v>
      </c>
      <c r="I163" s="19">
        <v>1</v>
      </c>
      <c r="J163" s="19" t="s">
        <v>19</v>
      </c>
      <c r="K163" s="19">
        <v>8</v>
      </c>
      <c r="L163" s="20"/>
    </row>
    <row r="164" spans="1:12">
      <c r="A164" s="15" t="s">
        <v>183</v>
      </c>
      <c r="B164" s="16">
        <v>37</v>
      </c>
      <c r="C164" s="16" t="str">
        <f t="shared" si="2"/>
        <v>36-40</v>
      </c>
      <c r="D164" s="16" t="s">
        <v>21</v>
      </c>
      <c r="E164" s="16">
        <v>5.3</v>
      </c>
      <c r="F164" s="16">
        <v>7</v>
      </c>
      <c r="G164" s="16">
        <v>6</v>
      </c>
      <c r="H164" s="16">
        <v>4</v>
      </c>
      <c r="I164" s="16">
        <v>0</v>
      </c>
      <c r="J164" s="16" t="s">
        <v>28</v>
      </c>
      <c r="K164" s="16">
        <v>10</v>
      </c>
      <c r="L164" s="21"/>
    </row>
    <row r="165" spans="1:12">
      <c r="A165" s="18" t="s">
        <v>184</v>
      </c>
      <c r="B165" s="19">
        <v>26</v>
      </c>
      <c r="C165" s="16" t="str">
        <f t="shared" si="2"/>
        <v>26–30</v>
      </c>
      <c r="D165" s="19" t="s">
        <v>13</v>
      </c>
      <c r="E165" s="19">
        <v>6.6</v>
      </c>
      <c r="F165" s="19">
        <v>6</v>
      </c>
      <c r="G165" s="19">
        <v>8</v>
      </c>
      <c r="H165" s="19">
        <v>4</v>
      </c>
      <c r="I165" s="19">
        <v>0</v>
      </c>
      <c r="J165" s="19" t="s">
        <v>14</v>
      </c>
      <c r="K165" s="19">
        <v>8</v>
      </c>
      <c r="L165" s="20"/>
    </row>
    <row r="166" spans="1:12">
      <c r="A166" s="15" t="s">
        <v>185</v>
      </c>
      <c r="B166" s="16">
        <v>31</v>
      </c>
      <c r="C166" s="16" t="str">
        <f t="shared" si="2"/>
        <v>31-35</v>
      </c>
      <c r="D166" s="16" t="s">
        <v>16</v>
      </c>
      <c r="E166" s="16">
        <v>3.3</v>
      </c>
      <c r="F166" s="16">
        <v>9</v>
      </c>
      <c r="G166" s="16">
        <v>5</v>
      </c>
      <c r="H166" s="16">
        <v>0</v>
      </c>
      <c r="I166" s="16">
        <v>2</v>
      </c>
      <c r="J166" s="16" t="s">
        <v>19</v>
      </c>
      <c r="K166" s="16">
        <v>10</v>
      </c>
      <c r="L166" s="21"/>
    </row>
    <row r="167" spans="1:12">
      <c r="A167" s="18" t="s">
        <v>186</v>
      </c>
      <c r="B167" s="19">
        <v>48</v>
      </c>
      <c r="C167" s="16" t="str">
        <f t="shared" si="2"/>
        <v>46+</v>
      </c>
      <c r="D167" s="19" t="s">
        <v>21</v>
      </c>
      <c r="E167" s="19">
        <v>8.5</v>
      </c>
      <c r="F167" s="19">
        <v>4</v>
      </c>
      <c r="G167" s="19">
        <v>10</v>
      </c>
      <c r="H167" s="19">
        <v>3</v>
      </c>
      <c r="I167" s="19">
        <v>3</v>
      </c>
      <c r="J167" s="19" t="s">
        <v>17</v>
      </c>
      <c r="K167" s="19">
        <v>8</v>
      </c>
      <c r="L167" s="20"/>
    </row>
    <row r="168" spans="1:12">
      <c r="A168" s="15" t="s">
        <v>187</v>
      </c>
      <c r="B168" s="16">
        <v>24</v>
      </c>
      <c r="C168" s="16" t="str">
        <f t="shared" si="2"/>
        <v>21–25</v>
      </c>
      <c r="D168" s="16" t="s">
        <v>13</v>
      </c>
      <c r="E168" s="16">
        <v>7.1</v>
      </c>
      <c r="F168" s="16">
        <v>6</v>
      </c>
      <c r="G168" s="16">
        <v>8</v>
      </c>
      <c r="H168" s="16">
        <v>6</v>
      </c>
      <c r="I168" s="16">
        <v>1</v>
      </c>
      <c r="J168" s="16" t="s">
        <v>22</v>
      </c>
      <c r="K168" s="16">
        <v>7</v>
      </c>
      <c r="L168" s="21"/>
    </row>
    <row r="169" spans="1:12">
      <c r="A169" s="18" t="s">
        <v>188</v>
      </c>
      <c r="B169" s="19">
        <v>21</v>
      </c>
      <c r="C169" s="16" t="str">
        <f t="shared" si="2"/>
        <v>21–25</v>
      </c>
      <c r="D169" s="19" t="s">
        <v>13</v>
      </c>
      <c r="E169" s="19">
        <v>5.0999999999999996</v>
      </c>
      <c r="F169" s="19">
        <v>6</v>
      </c>
      <c r="G169" s="19">
        <v>5</v>
      </c>
      <c r="H169" s="19">
        <v>4</v>
      </c>
      <c r="I169" s="19">
        <v>4</v>
      </c>
      <c r="J169" s="19" t="s">
        <v>24</v>
      </c>
      <c r="K169" s="19">
        <v>10</v>
      </c>
      <c r="L169" s="20"/>
    </row>
    <row r="170" spans="1:12">
      <c r="A170" s="15" t="s">
        <v>189</v>
      </c>
      <c r="B170" s="16">
        <v>31</v>
      </c>
      <c r="C170" s="16" t="str">
        <f t="shared" si="2"/>
        <v>31-35</v>
      </c>
      <c r="D170" s="16" t="s">
        <v>13</v>
      </c>
      <c r="E170" s="16">
        <v>4.2</v>
      </c>
      <c r="F170" s="16">
        <v>8</v>
      </c>
      <c r="G170" s="16">
        <v>6</v>
      </c>
      <c r="H170" s="16">
        <v>3</v>
      </c>
      <c r="I170" s="16">
        <v>2</v>
      </c>
      <c r="J170" s="16" t="s">
        <v>28</v>
      </c>
      <c r="K170" s="16">
        <v>10</v>
      </c>
      <c r="L170" s="21"/>
    </row>
    <row r="171" spans="1:12">
      <c r="A171" s="18" t="s">
        <v>190</v>
      </c>
      <c r="B171" s="19">
        <v>44</v>
      </c>
      <c r="C171" s="16" t="str">
        <f t="shared" si="2"/>
        <v>41-45</v>
      </c>
      <c r="D171" s="19" t="s">
        <v>13</v>
      </c>
      <c r="E171" s="19">
        <v>4.3</v>
      </c>
      <c r="F171" s="19">
        <v>8</v>
      </c>
      <c r="G171" s="19">
        <v>6</v>
      </c>
      <c r="H171" s="19">
        <v>6</v>
      </c>
      <c r="I171" s="19">
        <v>2</v>
      </c>
      <c r="J171" s="19" t="s">
        <v>28</v>
      </c>
      <c r="K171" s="19">
        <v>10</v>
      </c>
      <c r="L171" s="20"/>
    </row>
    <row r="172" spans="1:12">
      <c r="A172" s="15" t="s">
        <v>191</v>
      </c>
      <c r="B172" s="16">
        <v>18</v>
      </c>
      <c r="C172" s="16" t="str">
        <f t="shared" si="2"/>
        <v>16–20</v>
      </c>
      <c r="D172" s="16" t="s">
        <v>13</v>
      </c>
      <c r="E172" s="16">
        <v>5.6</v>
      </c>
      <c r="F172" s="16">
        <v>5</v>
      </c>
      <c r="G172" s="16">
        <v>7</v>
      </c>
      <c r="H172" s="16">
        <v>3</v>
      </c>
      <c r="I172" s="16">
        <v>1</v>
      </c>
      <c r="J172" s="16" t="s">
        <v>24</v>
      </c>
      <c r="K172" s="16">
        <v>6</v>
      </c>
      <c r="L172" s="21"/>
    </row>
    <row r="173" spans="1:12">
      <c r="A173" s="18" t="s">
        <v>192</v>
      </c>
      <c r="B173" s="19">
        <v>35</v>
      </c>
      <c r="C173" s="16" t="str">
        <f t="shared" si="2"/>
        <v>31-35</v>
      </c>
      <c r="D173" s="19" t="s">
        <v>13</v>
      </c>
      <c r="E173" s="19">
        <v>5.0999999999999996</v>
      </c>
      <c r="F173" s="19">
        <v>7</v>
      </c>
      <c r="G173" s="19">
        <v>7</v>
      </c>
      <c r="H173" s="19">
        <v>2</v>
      </c>
      <c r="I173" s="19">
        <v>0</v>
      </c>
      <c r="J173" s="19" t="s">
        <v>14</v>
      </c>
      <c r="K173" s="19">
        <v>7</v>
      </c>
      <c r="L173" s="20"/>
    </row>
    <row r="174" spans="1:12">
      <c r="A174" s="15" t="s">
        <v>193</v>
      </c>
      <c r="B174" s="16">
        <v>34</v>
      </c>
      <c r="C174" s="16" t="str">
        <f t="shared" si="2"/>
        <v>31-35</v>
      </c>
      <c r="D174" s="16" t="s">
        <v>13</v>
      </c>
      <c r="E174" s="16">
        <v>7.2</v>
      </c>
      <c r="F174" s="16">
        <v>6</v>
      </c>
      <c r="G174" s="16">
        <v>6</v>
      </c>
      <c r="H174" s="16">
        <v>3</v>
      </c>
      <c r="I174" s="16">
        <v>3</v>
      </c>
      <c r="J174" s="16" t="s">
        <v>24</v>
      </c>
      <c r="K174" s="16">
        <v>8</v>
      </c>
      <c r="L174" s="21"/>
    </row>
    <row r="175" spans="1:12">
      <c r="A175" s="18" t="s">
        <v>194</v>
      </c>
      <c r="B175" s="19">
        <v>41</v>
      </c>
      <c r="C175" s="16" t="str">
        <f t="shared" si="2"/>
        <v>41-45</v>
      </c>
      <c r="D175" s="19" t="s">
        <v>13</v>
      </c>
      <c r="E175" s="19">
        <v>4.9000000000000004</v>
      </c>
      <c r="F175" s="19">
        <v>7</v>
      </c>
      <c r="G175" s="19">
        <v>5</v>
      </c>
      <c r="H175" s="19">
        <v>5</v>
      </c>
      <c r="I175" s="19">
        <v>5</v>
      </c>
      <c r="J175" s="19" t="s">
        <v>19</v>
      </c>
      <c r="K175" s="19">
        <v>10</v>
      </c>
      <c r="L175" s="20"/>
    </row>
    <row r="176" spans="1:12">
      <c r="A176" s="15" t="s">
        <v>195</v>
      </c>
      <c r="B176" s="16">
        <v>18</v>
      </c>
      <c r="C176" s="16" t="str">
        <f t="shared" si="2"/>
        <v>16–20</v>
      </c>
      <c r="D176" s="16" t="s">
        <v>21</v>
      </c>
      <c r="E176" s="16">
        <v>6.4</v>
      </c>
      <c r="F176" s="16">
        <v>6</v>
      </c>
      <c r="G176" s="16">
        <v>8</v>
      </c>
      <c r="H176" s="16">
        <v>0</v>
      </c>
      <c r="I176" s="16">
        <v>2</v>
      </c>
      <c r="J176" s="16" t="s">
        <v>24</v>
      </c>
      <c r="K176" s="16">
        <v>8</v>
      </c>
      <c r="L176" s="21"/>
    </row>
    <row r="177" spans="1:12">
      <c r="A177" s="18" t="s">
        <v>196</v>
      </c>
      <c r="B177" s="19">
        <v>34</v>
      </c>
      <c r="C177" s="16" t="str">
        <f t="shared" si="2"/>
        <v>31-35</v>
      </c>
      <c r="D177" s="19" t="s">
        <v>13</v>
      </c>
      <c r="E177" s="19">
        <v>5.4</v>
      </c>
      <c r="F177" s="19">
        <v>6</v>
      </c>
      <c r="G177" s="19">
        <v>6</v>
      </c>
      <c r="H177" s="19">
        <v>4</v>
      </c>
      <c r="I177" s="19">
        <v>0</v>
      </c>
      <c r="J177" s="19" t="s">
        <v>28</v>
      </c>
      <c r="K177" s="19">
        <v>10</v>
      </c>
      <c r="L177" s="20"/>
    </row>
    <row r="178" spans="1:12">
      <c r="A178" s="15" t="s">
        <v>197</v>
      </c>
      <c r="B178" s="16">
        <v>35</v>
      </c>
      <c r="C178" s="16" t="str">
        <f t="shared" si="2"/>
        <v>31-35</v>
      </c>
      <c r="D178" s="16" t="s">
        <v>21</v>
      </c>
      <c r="E178" s="16">
        <v>6</v>
      </c>
      <c r="F178" s="16">
        <v>7</v>
      </c>
      <c r="G178" s="16">
        <v>7</v>
      </c>
      <c r="H178" s="16">
        <v>5</v>
      </c>
      <c r="I178" s="16">
        <v>4</v>
      </c>
      <c r="J178" s="16" t="s">
        <v>24</v>
      </c>
      <c r="K178" s="16">
        <v>8</v>
      </c>
      <c r="L178" s="21"/>
    </row>
    <row r="179" spans="1:12">
      <c r="A179" s="18" t="s">
        <v>198</v>
      </c>
      <c r="B179" s="19">
        <v>47</v>
      </c>
      <c r="C179" s="16" t="str">
        <f t="shared" si="2"/>
        <v>46+</v>
      </c>
      <c r="D179" s="19" t="s">
        <v>13</v>
      </c>
      <c r="E179" s="19">
        <v>5.0999999999999996</v>
      </c>
      <c r="F179" s="19">
        <v>7</v>
      </c>
      <c r="G179" s="19">
        <v>4</v>
      </c>
      <c r="H179" s="19">
        <v>2</v>
      </c>
      <c r="I179" s="19">
        <v>0</v>
      </c>
      <c r="J179" s="19" t="s">
        <v>22</v>
      </c>
      <c r="K179" s="19">
        <v>9</v>
      </c>
      <c r="L179" s="20"/>
    </row>
    <row r="180" spans="1:12">
      <c r="A180" s="15" t="s">
        <v>199</v>
      </c>
      <c r="B180" s="16">
        <v>22</v>
      </c>
      <c r="C180" s="16" t="str">
        <f t="shared" si="2"/>
        <v>21–25</v>
      </c>
      <c r="D180" s="16" t="s">
        <v>16</v>
      </c>
      <c r="E180" s="16">
        <v>6.8</v>
      </c>
      <c r="F180" s="16">
        <v>5</v>
      </c>
      <c r="G180" s="16">
        <v>10</v>
      </c>
      <c r="H180" s="16">
        <v>5</v>
      </c>
      <c r="I180" s="16">
        <v>1</v>
      </c>
      <c r="J180" s="16" t="s">
        <v>17</v>
      </c>
      <c r="K180" s="16">
        <v>7</v>
      </c>
      <c r="L180" s="21"/>
    </row>
    <row r="181" spans="1:12">
      <c r="A181" s="18" t="s">
        <v>200</v>
      </c>
      <c r="B181" s="19">
        <v>48</v>
      </c>
      <c r="C181" s="16" t="str">
        <f t="shared" si="2"/>
        <v>46+</v>
      </c>
      <c r="D181" s="19" t="s">
        <v>13</v>
      </c>
      <c r="E181" s="19">
        <v>6.8</v>
      </c>
      <c r="F181" s="19">
        <v>4</v>
      </c>
      <c r="G181" s="19">
        <v>7</v>
      </c>
      <c r="H181" s="19">
        <v>4</v>
      </c>
      <c r="I181" s="19">
        <v>2</v>
      </c>
      <c r="J181" s="19" t="s">
        <v>19</v>
      </c>
      <c r="K181" s="19">
        <v>7</v>
      </c>
      <c r="L181" s="20"/>
    </row>
    <row r="182" spans="1:12">
      <c r="A182" s="15" t="s">
        <v>201</v>
      </c>
      <c r="B182" s="16">
        <v>33</v>
      </c>
      <c r="C182" s="16" t="str">
        <f t="shared" si="2"/>
        <v>31-35</v>
      </c>
      <c r="D182" s="16" t="s">
        <v>13</v>
      </c>
      <c r="E182" s="16">
        <v>6.3</v>
      </c>
      <c r="F182" s="16">
        <v>6</v>
      </c>
      <c r="G182" s="16">
        <v>8</v>
      </c>
      <c r="H182" s="16">
        <v>7</v>
      </c>
      <c r="I182" s="16">
        <v>3</v>
      </c>
      <c r="J182" s="16" t="s">
        <v>24</v>
      </c>
      <c r="K182" s="16">
        <v>6</v>
      </c>
      <c r="L182" s="21"/>
    </row>
    <row r="183" spans="1:12">
      <c r="A183" s="18" t="s">
        <v>202</v>
      </c>
      <c r="B183" s="19">
        <v>16</v>
      </c>
      <c r="C183" s="16" t="str">
        <f t="shared" si="2"/>
        <v>16–20</v>
      </c>
      <c r="D183" s="19" t="s">
        <v>16</v>
      </c>
      <c r="E183" s="19">
        <v>6.6</v>
      </c>
      <c r="F183" s="19">
        <v>6</v>
      </c>
      <c r="G183" s="19">
        <v>7</v>
      </c>
      <c r="H183" s="19">
        <v>1</v>
      </c>
      <c r="I183" s="19">
        <v>1</v>
      </c>
      <c r="J183" s="19" t="s">
        <v>28</v>
      </c>
      <c r="K183" s="19">
        <v>8</v>
      </c>
      <c r="L183" s="20"/>
    </row>
    <row r="184" spans="1:12">
      <c r="A184" s="15" t="s">
        <v>203</v>
      </c>
      <c r="B184" s="16">
        <v>26</v>
      </c>
      <c r="C184" s="16" t="str">
        <f t="shared" si="2"/>
        <v>26–30</v>
      </c>
      <c r="D184" s="16" t="s">
        <v>21</v>
      </c>
      <c r="E184" s="16">
        <v>3.8</v>
      </c>
      <c r="F184" s="16">
        <v>10</v>
      </c>
      <c r="G184" s="16">
        <v>6</v>
      </c>
      <c r="H184" s="16">
        <v>5</v>
      </c>
      <c r="I184" s="16">
        <v>2</v>
      </c>
      <c r="J184" s="16" t="s">
        <v>17</v>
      </c>
      <c r="K184" s="16">
        <v>10</v>
      </c>
      <c r="L184" s="21"/>
    </row>
    <row r="185" spans="1:12">
      <c r="A185" s="18" t="s">
        <v>204</v>
      </c>
      <c r="B185" s="19">
        <v>43</v>
      </c>
      <c r="C185" s="16" t="str">
        <f t="shared" si="2"/>
        <v>41-45</v>
      </c>
      <c r="D185" s="19" t="s">
        <v>21</v>
      </c>
      <c r="E185" s="19">
        <v>6.1</v>
      </c>
      <c r="F185" s="19">
        <v>7</v>
      </c>
      <c r="G185" s="19">
        <v>9</v>
      </c>
      <c r="H185" s="19">
        <v>1</v>
      </c>
      <c r="I185" s="19">
        <v>4</v>
      </c>
      <c r="J185" s="19" t="s">
        <v>19</v>
      </c>
      <c r="K185" s="19">
        <v>7</v>
      </c>
      <c r="L185" s="20"/>
    </row>
    <row r="186" spans="1:12">
      <c r="A186" s="15" t="s">
        <v>205</v>
      </c>
      <c r="B186" s="16">
        <v>40</v>
      </c>
      <c r="C186" s="16" t="str">
        <f t="shared" si="2"/>
        <v>36-40</v>
      </c>
      <c r="D186" s="16" t="s">
        <v>13</v>
      </c>
      <c r="E186" s="16">
        <v>7.7</v>
      </c>
      <c r="F186" s="16">
        <v>3</v>
      </c>
      <c r="G186" s="16">
        <v>9</v>
      </c>
      <c r="H186" s="16">
        <v>0</v>
      </c>
      <c r="I186" s="16">
        <v>4</v>
      </c>
      <c r="J186" s="16" t="s">
        <v>28</v>
      </c>
      <c r="K186" s="16">
        <v>5</v>
      </c>
      <c r="L186" s="21"/>
    </row>
    <row r="187" spans="1:12">
      <c r="A187" s="18" t="s">
        <v>206</v>
      </c>
      <c r="B187" s="19">
        <v>38</v>
      </c>
      <c r="C187" s="16" t="str">
        <f t="shared" si="2"/>
        <v>36-40</v>
      </c>
      <c r="D187" s="19" t="s">
        <v>13</v>
      </c>
      <c r="E187" s="19">
        <v>6.4</v>
      </c>
      <c r="F187" s="19">
        <v>6</v>
      </c>
      <c r="G187" s="19">
        <v>7</v>
      </c>
      <c r="H187" s="19">
        <v>0</v>
      </c>
      <c r="I187" s="19">
        <v>4</v>
      </c>
      <c r="J187" s="19" t="s">
        <v>14</v>
      </c>
      <c r="K187" s="19">
        <v>8</v>
      </c>
      <c r="L187" s="20"/>
    </row>
    <row r="188" spans="1:12">
      <c r="A188" s="15" t="s">
        <v>207</v>
      </c>
      <c r="B188" s="16">
        <v>46</v>
      </c>
      <c r="C188" s="16" t="str">
        <f t="shared" si="2"/>
        <v>46+</v>
      </c>
      <c r="D188" s="16" t="s">
        <v>21</v>
      </c>
      <c r="E188" s="16">
        <v>3.6</v>
      </c>
      <c r="F188" s="16">
        <v>9</v>
      </c>
      <c r="G188" s="16">
        <v>5</v>
      </c>
      <c r="H188" s="16">
        <v>4</v>
      </c>
      <c r="I188" s="16">
        <v>5</v>
      </c>
      <c r="J188" s="16" t="s">
        <v>22</v>
      </c>
      <c r="K188" s="16">
        <v>10</v>
      </c>
      <c r="L188" s="21"/>
    </row>
    <row r="189" spans="1:12">
      <c r="A189" s="18" t="s">
        <v>208</v>
      </c>
      <c r="B189" s="19">
        <v>45</v>
      </c>
      <c r="C189" s="16" t="str">
        <f t="shared" si="2"/>
        <v>41-45</v>
      </c>
      <c r="D189" s="19" t="s">
        <v>21</v>
      </c>
      <c r="E189" s="19">
        <v>5.4</v>
      </c>
      <c r="F189" s="19">
        <v>7</v>
      </c>
      <c r="G189" s="19">
        <v>8</v>
      </c>
      <c r="H189" s="19">
        <v>3</v>
      </c>
      <c r="I189" s="19">
        <v>4</v>
      </c>
      <c r="J189" s="19" t="s">
        <v>14</v>
      </c>
      <c r="K189" s="19">
        <v>7</v>
      </c>
      <c r="L189" s="20"/>
    </row>
    <row r="190" spans="1:12">
      <c r="A190" s="15" t="s">
        <v>209</v>
      </c>
      <c r="B190" s="16">
        <v>22</v>
      </c>
      <c r="C190" s="16" t="str">
        <f t="shared" si="2"/>
        <v>21–25</v>
      </c>
      <c r="D190" s="16" t="s">
        <v>21</v>
      </c>
      <c r="E190" s="16">
        <v>6.2</v>
      </c>
      <c r="F190" s="16">
        <v>6</v>
      </c>
      <c r="G190" s="16">
        <v>9</v>
      </c>
      <c r="H190" s="16">
        <v>2</v>
      </c>
      <c r="I190" s="16">
        <v>2</v>
      </c>
      <c r="J190" s="16" t="s">
        <v>22</v>
      </c>
      <c r="K190" s="16">
        <v>6</v>
      </c>
      <c r="L190" s="21"/>
    </row>
    <row r="191" spans="1:12">
      <c r="A191" s="18" t="s">
        <v>210</v>
      </c>
      <c r="B191" s="19">
        <v>31</v>
      </c>
      <c r="C191" s="16" t="str">
        <f t="shared" si="2"/>
        <v>31-35</v>
      </c>
      <c r="D191" s="19" t="s">
        <v>21</v>
      </c>
      <c r="E191" s="19">
        <v>4.0999999999999996</v>
      </c>
      <c r="F191" s="19">
        <v>8</v>
      </c>
      <c r="G191" s="19">
        <v>6</v>
      </c>
      <c r="H191" s="19">
        <v>0</v>
      </c>
      <c r="I191" s="19">
        <v>4</v>
      </c>
      <c r="J191" s="19" t="s">
        <v>24</v>
      </c>
      <c r="K191" s="19">
        <v>10</v>
      </c>
      <c r="L191" s="20"/>
    </row>
    <row r="192" spans="1:12">
      <c r="A192" s="15" t="s">
        <v>211</v>
      </c>
      <c r="B192" s="16">
        <v>41</v>
      </c>
      <c r="C192" s="16" t="str">
        <f t="shared" si="2"/>
        <v>41-45</v>
      </c>
      <c r="D192" s="16" t="s">
        <v>13</v>
      </c>
      <c r="E192" s="16">
        <v>3.1</v>
      </c>
      <c r="F192" s="16">
        <v>7</v>
      </c>
      <c r="G192" s="16">
        <v>7</v>
      </c>
      <c r="H192" s="16">
        <v>2</v>
      </c>
      <c r="I192" s="16">
        <v>3</v>
      </c>
      <c r="J192" s="16" t="s">
        <v>19</v>
      </c>
      <c r="K192" s="16">
        <v>9</v>
      </c>
      <c r="L192" s="21"/>
    </row>
    <row r="193" spans="1:12">
      <c r="A193" s="18" t="s">
        <v>212</v>
      </c>
      <c r="B193" s="19">
        <v>17</v>
      </c>
      <c r="C193" s="16" t="str">
        <f t="shared" si="2"/>
        <v>16–20</v>
      </c>
      <c r="D193" s="19" t="s">
        <v>21</v>
      </c>
      <c r="E193" s="19">
        <v>4.9000000000000004</v>
      </c>
      <c r="F193" s="19">
        <v>7</v>
      </c>
      <c r="G193" s="19">
        <v>6</v>
      </c>
      <c r="H193" s="19">
        <v>3</v>
      </c>
      <c r="I193" s="19">
        <v>3</v>
      </c>
      <c r="J193" s="19" t="s">
        <v>24</v>
      </c>
      <c r="K193" s="19">
        <v>10</v>
      </c>
      <c r="L193" s="20"/>
    </row>
    <row r="194" spans="1:12">
      <c r="A194" s="15" t="s">
        <v>213</v>
      </c>
      <c r="B194" s="16">
        <v>16</v>
      </c>
      <c r="C194" s="16" t="str">
        <f t="shared" si="2"/>
        <v>16–20</v>
      </c>
      <c r="D194" s="16" t="s">
        <v>13</v>
      </c>
      <c r="E194" s="16">
        <v>4.2</v>
      </c>
      <c r="F194" s="16">
        <v>7</v>
      </c>
      <c r="G194" s="16">
        <v>7</v>
      </c>
      <c r="H194" s="16">
        <v>5</v>
      </c>
      <c r="I194" s="16">
        <v>3</v>
      </c>
      <c r="J194" s="16" t="s">
        <v>22</v>
      </c>
      <c r="K194" s="16">
        <v>8</v>
      </c>
      <c r="L194" s="21"/>
    </row>
    <row r="195" spans="1:12">
      <c r="A195" s="18" t="s">
        <v>214</v>
      </c>
      <c r="B195" s="19">
        <v>27</v>
      </c>
      <c r="C195" s="16" t="str">
        <f t="shared" ref="C195:C258" si="3">IF(B195&lt;=20,"16–20",IF(B195&lt;=25,"21–25",IF(B195&lt;=30,"26–30",IF(B195&lt;=35,"31-35",IF(B195&lt;=40,"36-40",IF(B195&lt;=45,"41-45","46+"))))))</f>
        <v>26–30</v>
      </c>
      <c r="D195" s="19" t="s">
        <v>13</v>
      </c>
      <c r="E195" s="19">
        <v>5.5</v>
      </c>
      <c r="F195" s="19">
        <v>6</v>
      </c>
      <c r="G195" s="19">
        <v>8</v>
      </c>
      <c r="H195" s="19">
        <v>3</v>
      </c>
      <c r="I195" s="19">
        <v>1</v>
      </c>
      <c r="J195" s="19" t="s">
        <v>22</v>
      </c>
      <c r="K195" s="19">
        <v>7</v>
      </c>
      <c r="L195" s="20"/>
    </row>
    <row r="196" spans="1:12">
      <c r="A196" s="15" t="s">
        <v>215</v>
      </c>
      <c r="B196" s="16">
        <v>20</v>
      </c>
      <c r="C196" s="16" t="str">
        <f t="shared" si="3"/>
        <v>16–20</v>
      </c>
      <c r="D196" s="16" t="s">
        <v>13</v>
      </c>
      <c r="E196" s="16">
        <v>2.6</v>
      </c>
      <c r="F196" s="16">
        <v>9</v>
      </c>
      <c r="G196" s="16">
        <v>4</v>
      </c>
      <c r="H196" s="16">
        <v>4</v>
      </c>
      <c r="I196" s="16">
        <v>1</v>
      </c>
      <c r="J196" s="16" t="s">
        <v>22</v>
      </c>
      <c r="K196" s="16">
        <v>10</v>
      </c>
      <c r="L196" s="21"/>
    </row>
    <row r="197" spans="1:12">
      <c r="A197" s="18" t="s">
        <v>216</v>
      </c>
      <c r="B197" s="19">
        <v>47</v>
      </c>
      <c r="C197" s="16" t="str">
        <f t="shared" si="3"/>
        <v>46+</v>
      </c>
      <c r="D197" s="19" t="s">
        <v>21</v>
      </c>
      <c r="E197" s="19">
        <v>6.5</v>
      </c>
      <c r="F197" s="19">
        <v>5</v>
      </c>
      <c r="G197" s="19">
        <v>7</v>
      </c>
      <c r="H197" s="19">
        <v>2</v>
      </c>
      <c r="I197" s="19">
        <v>2</v>
      </c>
      <c r="J197" s="19" t="s">
        <v>17</v>
      </c>
      <c r="K197" s="19">
        <v>8</v>
      </c>
      <c r="L197" s="20"/>
    </row>
    <row r="198" spans="1:12">
      <c r="A198" s="15" t="s">
        <v>217</v>
      </c>
      <c r="B198" s="16">
        <v>24</v>
      </c>
      <c r="C198" s="16" t="str">
        <f t="shared" si="3"/>
        <v>21–25</v>
      </c>
      <c r="D198" s="16" t="s">
        <v>13</v>
      </c>
      <c r="E198" s="16">
        <v>4.4000000000000004</v>
      </c>
      <c r="F198" s="16">
        <v>8</v>
      </c>
      <c r="G198" s="16">
        <v>7</v>
      </c>
      <c r="H198" s="16">
        <v>6</v>
      </c>
      <c r="I198" s="16">
        <v>3</v>
      </c>
      <c r="J198" s="16" t="s">
        <v>28</v>
      </c>
      <c r="K198" s="16">
        <v>10</v>
      </c>
      <c r="L198" s="21"/>
    </row>
    <row r="199" spans="1:12">
      <c r="A199" s="18" t="s">
        <v>218</v>
      </c>
      <c r="B199" s="19">
        <v>34</v>
      </c>
      <c r="C199" s="16" t="str">
        <f t="shared" si="3"/>
        <v>31-35</v>
      </c>
      <c r="D199" s="19" t="s">
        <v>13</v>
      </c>
      <c r="E199" s="19">
        <v>7.3</v>
      </c>
      <c r="F199" s="19">
        <v>5</v>
      </c>
      <c r="G199" s="19">
        <v>7</v>
      </c>
      <c r="H199" s="19">
        <v>1</v>
      </c>
      <c r="I199" s="19">
        <v>1</v>
      </c>
      <c r="J199" s="19" t="s">
        <v>19</v>
      </c>
      <c r="K199" s="19">
        <v>6</v>
      </c>
      <c r="L199" s="20"/>
    </row>
    <row r="200" spans="1:12">
      <c r="A200" s="15" t="s">
        <v>219</v>
      </c>
      <c r="B200" s="16">
        <v>31</v>
      </c>
      <c r="C200" s="16" t="str">
        <f t="shared" si="3"/>
        <v>31-35</v>
      </c>
      <c r="D200" s="16" t="s">
        <v>21</v>
      </c>
      <c r="E200" s="16">
        <v>5</v>
      </c>
      <c r="F200" s="16">
        <v>7</v>
      </c>
      <c r="G200" s="16">
        <v>5</v>
      </c>
      <c r="H200" s="16">
        <v>2</v>
      </c>
      <c r="I200" s="16">
        <v>3</v>
      </c>
      <c r="J200" s="16" t="s">
        <v>24</v>
      </c>
      <c r="K200" s="16">
        <v>10</v>
      </c>
      <c r="L200" s="21"/>
    </row>
    <row r="201" spans="1:12">
      <c r="A201" s="18" t="s">
        <v>220</v>
      </c>
      <c r="B201" s="19">
        <v>18</v>
      </c>
      <c r="C201" s="16" t="str">
        <f t="shared" si="3"/>
        <v>16–20</v>
      </c>
      <c r="D201" s="19" t="s">
        <v>13</v>
      </c>
      <c r="E201" s="19">
        <v>5.5</v>
      </c>
      <c r="F201" s="19">
        <v>5</v>
      </c>
      <c r="G201" s="19">
        <v>6</v>
      </c>
      <c r="H201" s="19">
        <v>2</v>
      </c>
      <c r="I201" s="19">
        <v>6</v>
      </c>
      <c r="J201" s="19" t="s">
        <v>24</v>
      </c>
      <c r="K201" s="19">
        <v>9</v>
      </c>
      <c r="L201" s="20"/>
    </row>
    <row r="202" spans="1:12">
      <c r="A202" s="15" t="s">
        <v>221</v>
      </c>
      <c r="B202" s="16">
        <v>35</v>
      </c>
      <c r="C202" s="16" t="str">
        <f t="shared" si="3"/>
        <v>31-35</v>
      </c>
      <c r="D202" s="16" t="s">
        <v>21</v>
      </c>
      <c r="E202" s="16">
        <v>5.2</v>
      </c>
      <c r="F202" s="16">
        <v>7</v>
      </c>
      <c r="G202" s="16">
        <v>6</v>
      </c>
      <c r="H202" s="16">
        <v>4</v>
      </c>
      <c r="I202" s="16">
        <v>0</v>
      </c>
      <c r="J202" s="16" t="s">
        <v>14</v>
      </c>
      <c r="K202" s="16">
        <v>10</v>
      </c>
      <c r="L202" s="21"/>
    </row>
    <row r="203" spans="1:12">
      <c r="A203" s="18" t="s">
        <v>222</v>
      </c>
      <c r="B203" s="19">
        <v>39</v>
      </c>
      <c r="C203" s="16" t="str">
        <f t="shared" si="3"/>
        <v>36-40</v>
      </c>
      <c r="D203" s="19" t="s">
        <v>13</v>
      </c>
      <c r="E203" s="19">
        <v>4.3</v>
      </c>
      <c r="F203" s="19">
        <v>9</v>
      </c>
      <c r="G203" s="19">
        <v>7</v>
      </c>
      <c r="H203" s="19">
        <v>1</v>
      </c>
      <c r="I203" s="19">
        <v>3</v>
      </c>
      <c r="J203" s="19" t="s">
        <v>22</v>
      </c>
      <c r="K203" s="19">
        <v>9</v>
      </c>
      <c r="L203" s="20"/>
    </row>
    <row r="204" spans="1:12">
      <c r="A204" s="15" t="s">
        <v>223</v>
      </c>
      <c r="B204" s="16">
        <v>48</v>
      </c>
      <c r="C204" s="16" t="str">
        <f t="shared" si="3"/>
        <v>46+</v>
      </c>
      <c r="D204" s="16" t="s">
        <v>21</v>
      </c>
      <c r="E204" s="16">
        <v>10</v>
      </c>
      <c r="F204" s="16">
        <v>3</v>
      </c>
      <c r="G204" s="16">
        <v>10</v>
      </c>
      <c r="H204" s="16">
        <v>3</v>
      </c>
      <c r="I204" s="16">
        <v>2</v>
      </c>
      <c r="J204" s="16" t="s">
        <v>22</v>
      </c>
      <c r="K204" s="16">
        <v>4</v>
      </c>
      <c r="L204" s="21"/>
    </row>
    <row r="205" spans="1:12">
      <c r="A205" s="18" t="s">
        <v>224</v>
      </c>
      <c r="B205" s="19">
        <v>39</v>
      </c>
      <c r="C205" s="16" t="str">
        <f t="shared" si="3"/>
        <v>36-40</v>
      </c>
      <c r="D205" s="19" t="s">
        <v>21</v>
      </c>
      <c r="E205" s="19">
        <v>4.5999999999999996</v>
      </c>
      <c r="F205" s="19">
        <v>6</v>
      </c>
      <c r="G205" s="19">
        <v>7</v>
      </c>
      <c r="H205" s="19">
        <v>3</v>
      </c>
      <c r="I205" s="19">
        <v>3</v>
      </c>
      <c r="J205" s="19" t="s">
        <v>22</v>
      </c>
      <c r="K205" s="19">
        <v>6</v>
      </c>
      <c r="L205" s="20"/>
    </row>
    <row r="206" spans="1:12">
      <c r="A206" s="15" t="s">
        <v>225</v>
      </c>
      <c r="B206" s="16">
        <v>26</v>
      </c>
      <c r="C206" s="16" t="str">
        <f t="shared" si="3"/>
        <v>26–30</v>
      </c>
      <c r="D206" s="16" t="s">
        <v>13</v>
      </c>
      <c r="E206" s="16">
        <v>7.3</v>
      </c>
      <c r="F206" s="16">
        <v>5</v>
      </c>
      <c r="G206" s="16">
        <v>8</v>
      </c>
      <c r="H206" s="16">
        <v>2</v>
      </c>
      <c r="I206" s="16">
        <v>2</v>
      </c>
      <c r="J206" s="16" t="s">
        <v>24</v>
      </c>
      <c r="K206" s="16">
        <v>7</v>
      </c>
      <c r="L206" s="21"/>
    </row>
    <row r="207" spans="1:12">
      <c r="A207" s="18" t="s">
        <v>226</v>
      </c>
      <c r="B207" s="19">
        <v>23</v>
      </c>
      <c r="C207" s="16" t="str">
        <f t="shared" si="3"/>
        <v>21–25</v>
      </c>
      <c r="D207" s="19" t="s">
        <v>13</v>
      </c>
      <c r="E207" s="19">
        <v>3.5</v>
      </c>
      <c r="F207" s="19">
        <v>9</v>
      </c>
      <c r="G207" s="19">
        <v>5</v>
      </c>
      <c r="H207" s="19">
        <v>4</v>
      </c>
      <c r="I207" s="19">
        <v>2</v>
      </c>
      <c r="J207" s="19" t="s">
        <v>14</v>
      </c>
      <c r="K207" s="19">
        <v>10</v>
      </c>
      <c r="L207" s="20"/>
    </row>
    <row r="208" spans="1:12">
      <c r="A208" s="15" t="s">
        <v>227</v>
      </c>
      <c r="B208" s="16">
        <v>35</v>
      </c>
      <c r="C208" s="16" t="str">
        <f t="shared" si="3"/>
        <v>31-35</v>
      </c>
      <c r="D208" s="16" t="s">
        <v>13</v>
      </c>
      <c r="E208" s="16">
        <v>6.2</v>
      </c>
      <c r="F208" s="16">
        <v>4</v>
      </c>
      <c r="G208" s="16">
        <v>8</v>
      </c>
      <c r="H208" s="16">
        <v>1</v>
      </c>
      <c r="I208" s="16">
        <v>3</v>
      </c>
      <c r="J208" s="16" t="s">
        <v>28</v>
      </c>
      <c r="K208" s="16">
        <v>7</v>
      </c>
      <c r="L208" s="21"/>
    </row>
    <row r="209" spans="1:12">
      <c r="A209" s="18" t="s">
        <v>228</v>
      </c>
      <c r="B209" s="19">
        <v>40</v>
      </c>
      <c r="C209" s="16" t="str">
        <f t="shared" si="3"/>
        <v>36-40</v>
      </c>
      <c r="D209" s="19" t="s">
        <v>13</v>
      </c>
      <c r="E209" s="19">
        <v>6.4</v>
      </c>
      <c r="F209" s="19">
        <v>5</v>
      </c>
      <c r="G209" s="19">
        <v>8</v>
      </c>
      <c r="H209" s="19">
        <v>1</v>
      </c>
      <c r="I209" s="19">
        <v>2</v>
      </c>
      <c r="J209" s="19" t="s">
        <v>17</v>
      </c>
      <c r="K209" s="19">
        <v>7</v>
      </c>
      <c r="L209" s="20"/>
    </row>
    <row r="210" spans="1:12">
      <c r="A210" s="15" t="s">
        <v>229</v>
      </c>
      <c r="B210" s="16">
        <v>40</v>
      </c>
      <c r="C210" s="16" t="str">
        <f t="shared" si="3"/>
        <v>36-40</v>
      </c>
      <c r="D210" s="16" t="s">
        <v>16</v>
      </c>
      <c r="E210" s="16">
        <v>5.5</v>
      </c>
      <c r="F210" s="16">
        <v>6</v>
      </c>
      <c r="G210" s="16">
        <v>7</v>
      </c>
      <c r="H210" s="16">
        <v>3</v>
      </c>
      <c r="I210" s="16">
        <v>0</v>
      </c>
      <c r="J210" s="16" t="s">
        <v>19</v>
      </c>
      <c r="K210" s="16">
        <v>9</v>
      </c>
      <c r="L210" s="21"/>
    </row>
    <row r="211" spans="1:12">
      <c r="A211" s="18" t="s">
        <v>230</v>
      </c>
      <c r="B211" s="19">
        <v>44</v>
      </c>
      <c r="C211" s="16" t="str">
        <f t="shared" si="3"/>
        <v>41-45</v>
      </c>
      <c r="D211" s="19" t="s">
        <v>13</v>
      </c>
      <c r="E211" s="19">
        <v>4.5</v>
      </c>
      <c r="F211" s="19">
        <v>6</v>
      </c>
      <c r="G211" s="19">
        <v>6</v>
      </c>
      <c r="H211" s="19">
        <v>0</v>
      </c>
      <c r="I211" s="19">
        <v>2</v>
      </c>
      <c r="J211" s="19" t="s">
        <v>28</v>
      </c>
      <c r="K211" s="19">
        <v>9</v>
      </c>
      <c r="L211" s="20"/>
    </row>
    <row r="212" spans="1:12">
      <c r="A212" s="15" t="s">
        <v>231</v>
      </c>
      <c r="B212" s="16">
        <v>33</v>
      </c>
      <c r="C212" s="16" t="str">
        <f t="shared" si="3"/>
        <v>31-35</v>
      </c>
      <c r="D212" s="16" t="s">
        <v>21</v>
      </c>
      <c r="E212" s="16">
        <v>5</v>
      </c>
      <c r="F212" s="16">
        <v>6</v>
      </c>
      <c r="G212" s="16">
        <v>6</v>
      </c>
      <c r="H212" s="16">
        <v>0</v>
      </c>
      <c r="I212" s="16">
        <v>0</v>
      </c>
      <c r="J212" s="16" t="s">
        <v>24</v>
      </c>
      <c r="K212" s="16">
        <v>8</v>
      </c>
      <c r="L212" s="21"/>
    </row>
    <row r="213" spans="1:12">
      <c r="A213" s="18" t="s">
        <v>232</v>
      </c>
      <c r="B213" s="19">
        <v>33</v>
      </c>
      <c r="C213" s="16" t="str">
        <f t="shared" si="3"/>
        <v>31-35</v>
      </c>
      <c r="D213" s="19" t="s">
        <v>13</v>
      </c>
      <c r="E213" s="19">
        <v>4.8</v>
      </c>
      <c r="F213" s="19">
        <v>5</v>
      </c>
      <c r="G213" s="19">
        <v>6</v>
      </c>
      <c r="H213" s="19">
        <v>4</v>
      </c>
      <c r="I213" s="19">
        <v>3</v>
      </c>
      <c r="J213" s="19" t="s">
        <v>17</v>
      </c>
      <c r="K213" s="19">
        <v>9</v>
      </c>
      <c r="L213" s="20"/>
    </row>
    <row r="214" spans="1:12">
      <c r="A214" s="15" t="s">
        <v>233</v>
      </c>
      <c r="B214" s="16">
        <v>17</v>
      </c>
      <c r="C214" s="16" t="str">
        <f t="shared" si="3"/>
        <v>16–20</v>
      </c>
      <c r="D214" s="16" t="s">
        <v>21</v>
      </c>
      <c r="E214" s="16">
        <v>9.8000000000000007</v>
      </c>
      <c r="F214" s="16">
        <v>4</v>
      </c>
      <c r="G214" s="16">
        <v>9</v>
      </c>
      <c r="H214" s="16">
        <v>5</v>
      </c>
      <c r="I214" s="16">
        <v>0</v>
      </c>
      <c r="J214" s="16" t="s">
        <v>17</v>
      </c>
      <c r="K214" s="16">
        <v>6</v>
      </c>
      <c r="L214" s="21"/>
    </row>
    <row r="215" spans="1:12">
      <c r="A215" s="18" t="s">
        <v>234</v>
      </c>
      <c r="B215" s="19">
        <v>31</v>
      </c>
      <c r="C215" s="16" t="str">
        <f t="shared" si="3"/>
        <v>31-35</v>
      </c>
      <c r="D215" s="19" t="s">
        <v>21</v>
      </c>
      <c r="E215" s="19">
        <v>5.5</v>
      </c>
      <c r="F215" s="19">
        <v>7</v>
      </c>
      <c r="G215" s="19">
        <v>7</v>
      </c>
      <c r="H215" s="19">
        <v>2</v>
      </c>
      <c r="I215" s="19">
        <v>4</v>
      </c>
      <c r="J215" s="19" t="s">
        <v>17</v>
      </c>
      <c r="K215" s="19">
        <v>9</v>
      </c>
      <c r="L215" s="20"/>
    </row>
    <row r="216" spans="1:12">
      <c r="A216" s="15" t="s">
        <v>235</v>
      </c>
      <c r="B216" s="16">
        <v>48</v>
      </c>
      <c r="C216" s="16" t="str">
        <f t="shared" si="3"/>
        <v>46+</v>
      </c>
      <c r="D216" s="16" t="s">
        <v>21</v>
      </c>
      <c r="E216" s="16">
        <v>6.4</v>
      </c>
      <c r="F216" s="16">
        <v>4</v>
      </c>
      <c r="G216" s="16">
        <v>6</v>
      </c>
      <c r="H216" s="16">
        <v>2</v>
      </c>
      <c r="I216" s="16">
        <v>3</v>
      </c>
      <c r="J216" s="16" t="s">
        <v>22</v>
      </c>
      <c r="K216" s="16">
        <v>7</v>
      </c>
      <c r="L216" s="21"/>
    </row>
    <row r="217" spans="1:12">
      <c r="A217" s="18" t="s">
        <v>236</v>
      </c>
      <c r="B217" s="19">
        <v>19</v>
      </c>
      <c r="C217" s="16" t="str">
        <f t="shared" si="3"/>
        <v>16–20</v>
      </c>
      <c r="D217" s="19" t="s">
        <v>21</v>
      </c>
      <c r="E217" s="19">
        <v>8.6999999999999993</v>
      </c>
      <c r="F217" s="19">
        <v>6</v>
      </c>
      <c r="G217" s="19">
        <v>7</v>
      </c>
      <c r="H217" s="19">
        <v>5</v>
      </c>
      <c r="I217" s="19">
        <v>3</v>
      </c>
      <c r="J217" s="19" t="s">
        <v>19</v>
      </c>
      <c r="K217" s="19">
        <v>10</v>
      </c>
      <c r="L217" s="20"/>
    </row>
    <row r="218" spans="1:12">
      <c r="A218" s="15" t="s">
        <v>237</v>
      </c>
      <c r="B218" s="16">
        <v>48</v>
      </c>
      <c r="C218" s="16" t="str">
        <f t="shared" si="3"/>
        <v>46+</v>
      </c>
      <c r="D218" s="16" t="s">
        <v>13</v>
      </c>
      <c r="E218" s="16">
        <v>3.9</v>
      </c>
      <c r="F218" s="16">
        <v>9</v>
      </c>
      <c r="G218" s="16">
        <v>5</v>
      </c>
      <c r="H218" s="16">
        <v>1</v>
      </c>
      <c r="I218" s="16">
        <v>0</v>
      </c>
      <c r="J218" s="16" t="s">
        <v>24</v>
      </c>
      <c r="K218" s="16">
        <v>10</v>
      </c>
      <c r="L218" s="21"/>
    </row>
    <row r="219" spans="1:12">
      <c r="A219" s="18" t="s">
        <v>238</v>
      </c>
      <c r="B219" s="19">
        <v>29</v>
      </c>
      <c r="C219" s="16" t="str">
        <f t="shared" si="3"/>
        <v>26–30</v>
      </c>
      <c r="D219" s="19" t="s">
        <v>13</v>
      </c>
      <c r="E219" s="19">
        <v>5.6</v>
      </c>
      <c r="F219" s="19">
        <v>6</v>
      </c>
      <c r="G219" s="19">
        <v>6</v>
      </c>
      <c r="H219" s="19">
        <v>0</v>
      </c>
      <c r="I219" s="19">
        <v>2</v>
      </c>
      <c r="J219" s="19" t="s">
        <v>24</v>
      </c>
      <c r="K219" s="19">
        <v>8</v>
      </c>
      <c r="L219" s="20"/>
    </row>
    <row r="220" spans="1:12">
      <c r="A220" s="15" t="s">
        <v>239</v>
      </c>
      <c r="B220" s="16">
        <v>36</v>
      </c>
      <c r="C220" s="16" t="str">
        <f t="shared" si="3"/>
        <v>36-40</v>
      </c>
      <c r="D220" s="16" t="s">
        <v>21</v>
      </c>
      <c r="E220" s="16">
        <v>5</v>
      </c>
      <c r="F220" s="16">
        <v>8</v>
      </c>
      <c r="G220" s="16">
        <v>6</v>
      </c>
      <c r="H220" s="16">
        <v>4</v>
      </c>
      <c r="I220" s="16">
        <v>4</v>
      </c>
      <c r="J220" s="16" t="s">
        <v>17</v>
      </c>
      <c r="K220" s="16">
        <v>10</v>
      </c>
      <c r="L220" s="21"/>
    </row>
    <row r="221" spans="1:12">
      <c r="A221" s="18" t="s">
        <v>240</v>
      </c>
      <c r="B221" s="19">
        <v>35</v>
      </c>
      <c r="C221" s="16" t="str">
        <f t="shared" si="3"/>
        <v>31-35</v>
      </c>
      <c r="D221" s="19" t="s">
        <v>21</v>
      </c>
      <c r="E221" s="19">
        <v>5.3</v>
      </c>
      <c r="F221" s="19">
        <v>6</v>
      </c>
      <c r="G221" s="19">
        <v>6</v>
      </c>
      <c r="H221" s="19">
        <v>3</v>
      </c>
      <c r="I221" s="19">
        <v>2</v>
      </c>
      <c r="J221" s="19" t="s">
        <v>24</v>
      </c>
      <c r="K221" s="19">
        <v>9</v>
      </c>
      <c r="L221" s="20"/>
    </row>
    <row r="222" spans="1:12">
      <c r="A222" s="15" t="s">
        <v>241</v>
      </c>
      <c r="B222" s="16">
        <v>23</v>
      </c>
      <c r="C222" s="16" t="str">
        <f t="shared" si="3"/>
        <v>21–25</v>
      </c>
      <c r="D222" s="16" t="s">
        <v>16</v>
      </c>
      <c r="E222" s="16">
        <v>5.2</v>
      </c>
      <c r="F222" s="16">
        <v>7</v>
      </c>
      <c r="G222" s="16">
        <v>6</v>
      </c>
      <c r="H222" s="16">
        <v>5</v>
      </c>
      <c r="I222" s="16">
        <v>1</v>
      </c>
      <c r="J222" s="16" t="s">
        <v>19</v>
      </c>
      <c r="K222" s="16">
        <v>9</v>
      </c>
      <c r="L222" s="21"/>
    </row>
    <row r="223" spans="1:12">
      <c r="A223" s="18" t="s">
        <v>242</v>
      </c>
      <c r="B223" s="19">
        <v>22</v>
      </c>
      <c r="C223" s="16" t="str">
        <f t="shared" si="3"/>
        <v>21–25</v>
      </c>
      <c r="D223" s="19" t="s">
        <v>13</v>
      </c>
      <c r="E223" s="19">
        <v>4.2</v>
      </c>
      <c r="F223" s="19">
        <v>6</v>
      </c>
      <c r="G223" s="19">
        <v>6</v>
      </c>
      <c r="H223" s="19">
        <v>0</v>
      </c>
      <c r="I223" s="19">
        <v>2</v>
      </c>
      <c r="J223" s="19" t="s">
        <v>19</v>
      </c>
      <c r="K223" s="19">
        <v>8</v>
      </c>
      <c r="L223" s="20"/>
    </row>
    <row r="224" spans="1:12">
      <c r="A224" s="15" t="s">
        <v>243</v>
      </c>
      <c r="B224" s="16">
        <v>18</v>
      </c>
      <c r="C224" s="16" t="str">
        <f t="shared" si="3"/>
        <v>16–20</v>
      </c>
      <c r="D224" s="16" t="s">
        <v>21</v>
      </c>
      <c r="E224" s="16">
        <v>5.9</v>
      </c>
      <c r="F224" s="16">
        <v>8</v>
      </c>
      <c r="G224" s="16">
        <v>6</v>
      </c>
      <c r="H224" s="16">
        <v>0</v>
      </c>
      <c r="I224" s="16">
        <v>2</v>
      </c>
      <c r="J224" s="16" t="s">
        <v>14</v>
      </c>
      <c r="K224" s="16">
        <v>8</v>
      </c>
      <c r="L224" s="21"/>
    </row>
    <row r="225" spans="1:12">
      <c r="A225" s="18" t="s">
        <v>244</v>
      </c>
      <c r="B225" s="19">
        <v>32</v>
      </c>
      <c r="C225" s="16" t="str">
        <f t="shared" si="3"/>
        <v>31-35</v>
      </c>
      <c r="D225" s="19" t="s">
        <v>21</v>
      </c>
      <c r="E225" s="19">
        <v>3.6</v>
      </c>
      <c r="F225" s="19">
        <v>7</v>
      </c>
      <c r="G225" s="19">
        <v>5</v>
      </c>
      <c r="H225" s="19">
        <v>3</v>
      </c>
      <c r="I225" s="19">
        <v>1</v>
      </c>
      <c r="J225" s="19" t="s">
        <v>14</v>
      </c>
      <c r="K225" s="19">
        <v>10</v>
      </c>
      <c r="L225" s="20"/>
    </row>
    <row r="226" spans="1:12">
      <c r="A226" s="15" t="s">
        <v>245</v>
      </c>
      <c r="B226" s="16">
        <v>48</v>
      </c>
      <c r="C226" s="16" t="str">
        <f t="shared" si="3"/>
        <v>46+</v>
      </c>
      <c r="D226" s="16" t="s">
        <v>13</v>
      </c>
      <c r="E226" s="16">
        <v>7.3</v>
      </c>
      <c r="F226" s="16">
        <v>5</v>
      </c>
      <c r="G226" s="16">
        <v>9</v>
      </c>
      <c r="H226" s="16">
        <v>4</v>
      </c>
      <c r="I226" s="16">
        <v>4</v>
      </c>
      <c r="J226" s="16" t="s">
        <v>28</v>
      </c>
      <c r="K226" s="16">
        <v>5</v>
      </c>
      <c r="L226" s="21"/>
    </row>
    <row r="227" spans="1:12">
      <c r="A227" s="18" t="s">
        <v>246</v>
      </c>
      <c r="B227" s="19">
        <v>27</v>
      </c>
      <c r="C227" s="16" t="str">
        <f t="shared" si="3"/>
        <v>26–30</v>
      </c>
      <c r="D227" s="19" t="s">
        <v>13</v>
      </c>
      <c r="E227" s="19">
        <v>6.6</v>
      </c>
      <c r="F227" s="19">
        <v>5</v>
      </c>
      <c r="G227" s="19">
        <v>7</v>
      </c>
      <c r="H227" s="19">
        <v>5</v>
      </c>
      <c r="I227" s="19">
        <v>2</v>
      </c>
      <c r="J227" s="19" t="s">
        <v>19</v>
      </c>
      <c r="K227" s="19">
        <v>7</v>
      </c>
      <c r="L227" s="20"/>
    </row>
    <row r="228" spans="1:12">
      <c r="A228" s="15" t="s">
        <v>247</v>
      </c>
      <c r="B228" s="16">
        <v>37</v>
      </c>
      <c r="C228" s="16" t="str">
        <f t="shared" si="3"/>
        <v>36-40</v>
      </c>
      <c r="D228" s="16" t="s">
        <v>21</v>
      </c>
      <c r="E228" s="16">
        <v>4.5999999999999996</v>
      </c>
      <c r="F228" s="16">
        <v>9</v>
      </c>
      <c r="G228" s="16">
        <v>6</v>
      </c>
      <c r="H228" s="16">
        <v>3</v>
      </c>
      <c r="I228" s="16">
        <v>2</v>
      </c>
      <c r="J228" s="16" t="s">
        <v>19</v>
      </c>
      <c r="K228" s="16">
        <v>8</v>
      </c>
      <c r="L228" s="21"/>
    </row>
    <row r="229" spans="1:12">
      <c r="A229" s="18" t="s">
        <v>248</v>
      </c>
      <c r="B229" s="19">
        <v>37</v>
      </c>
      <c r="C229" s="16" t="str">
        <f t="shared" si="3"/>
        <v>36-40</v>
      </c>
      <c r="D229" s="19" t="s">
        <v>21</v>
      </c>
      <c r="E229" s="19">
        <v>4.7</v>
      </c>
      <c r="F229" s="19">
        <v>9</v>
      </c>
      <c r="G229" s="19">
        <v>6</v>
      </c>
      <c r="H229" s="19">
        <v>3</v>
      </c>
      <c r="I229" s="19">
        <v>1</v>
      </c>
      <c r="J229" s="19" t="s">
        <v>19</v>
      </c>
      <c r="K229" s="19">
        <v>10</v>
      </c>
      <c r="L229" s="20"/>
    </row>
    <row r="230" spans="1:12">
      <c r="A230" s="15" t="s">
        <v>249</v>
      </c>
      <c r="B230" s="16">
        <v>45</v>
      </c>
      <c r="C230" s="16" t="str">
        <f t="shared" si="3"/>
        <v>41-45</v>
      </c>
      <c r="D230" s="16" t="s">
        <v>21</v>
      </c>
      <c r="E230" s="16">
        <v>6</v>
      </c>
      <c r="F230" s="16">
        <v>8</v>
      </c>
      <c r="G230" s="16">
        <v>7</v>
      </c>
      <c r="H230" s="16">
        <v>2</v>
      </c>
      <c r="I230" s="16">
        <v>3</v>
      </c>
      <c r="J230" s="16" t="s">
        <v>14</v>
      </c>
      <c r="K230" s="16">
        <v>9</v>
      </c>
      <c r="L230" s="21"/>
    </row>
    <row r="231" spans="1:12">
      <c r="A231" s="18" t="s">
        <v>250</v>
      </c>
      <c r="B231" s="19">
        <v>23</v>
      </c>
      <c r="C231" s="16" t="str">
        <f t="shared" si="3"/>
        <v>21–25</v>
      </c>
      <c r="D231" s="19" t="s">
        <v>13</v>
      </c>
      <c r="E231" s="19">
        <v>4.0999999999999996</v>
      </c>
      <c r="F231" s="19">
        <v>8</v>
      </c>
      <c r="G231" s="19">
        <v>5</v>
      </c>
      <c r="H231" s="19">
        <v>6</v>
      </c>
      <c r="I231" s="19">
        <v>3</v>
      </c>
      <c r="J231" s="19" t="s">
        <v>17</v>
      </c>
      <c r="K231" s="19">
        <v>10</v>
      </c>
      <c r="L231" s="20"/>
    </row>
    <row r="232" spans="1:12">
      <c r="A232" s="15" t="s">
        <v>251</v>
      </c>
      <c r="B232" s="16">
        <v>42</v>
      </c>
      <c r="C232" s="16" t="str">
        <f t="shared" si="3"/>
        <v>41-45</v>
      </c>
      <c r="D232" s="16" t="s">
        <v>21</v>
      </c>
      <c r="E232" s="16">
        <v>8.8000000000000007</v>
      </c>
      <c r="F232" s="16">
        <v>4</v>
      </c>
      <c r="G232" s="16">
        <v>8</v>
      </c>
      <c r="H232" s="16">
        <v>1</v>
      </c>
      <c r="I232" s="16">
        <v>1</v>
      </c>
      <c r="J232" s="16" t="s">
        <v>17</v>
      </c>
      <c r="K232" s="16">
        <v>6</v>
      </c>
      <c r="L232" s="21"/>
    </row>
    <row r="233" spans="1:12">
      <c r="A233" s="18" t="s">
        <v>252</v>
      </c>
      <c r="B233" s="19">
        <v>42</v>
      </c>
      <c r="C233" s="16" t="str">
        <f t="shared" si="3"/>
        <v>41-45</v>
      </c>
      <c r="D233" s="19" t="s">
        <v>13</v>
      </c>
      <c r="E233" s="19">
        <v>6.1</v>
      </c>
      <c r="F233" s="19">
        <v>7</v>
      </c>
      <c r="G233" s="19">
        <v>6</v>
      </c>
      <c r="H233" s="19">
        <v>4</v>
      </c>
      <c r="I233" s="19">
        <v>0</v>
      </c>
      <c r="J233" s="19" t="s">
        <v>24</v>
      </c>
      <c r="K233" s="19">
        <v>8</v>
      </c>
      <c r="L233" s="20"/>
    </row>
    <row r="234" spans="1:12">
      <c r="A234" s="15" t="s">
        <v>253</v>
      </c>
      <c r="B234" s="16">
        <v>49</v>
      </c>
      <c r="C234" s="16" t="str">
        <f t="shared" si="3"/>
        <v>46+</v>
      </c>
      <c r="D234" s="16" t="s">
        <v>13</v>
      </c>
      <c r="E234" s="16">
        <v>6.2</v>
      </c>
      <c r="F234" s="16">
        <v>6</v>
      </c>
      <c r="G234" s="16">
        <v>8</v>
      </c>
      <c r="H234" s="16">
        <v>1</v>
      </c>
      <c r="I234" s="16">
        <v>3</v>
      </c>
      <c r="J234" s="16" t="s">
        <v>17</v>
      </c>
      <c r="K234" s="16">
        <v>8</v>
      </c>
      <c r="L234" s="21"/>
    </row>
    <row r="235" spans="1:12">
      <c r="A235" s="18" t="s">
        <v>254</v>
      </c>
      <c r="B235" s="19">
        <v>36</v>
      </c>
      <c r="C235" s="16" t="str">
        <f t="shared" si="3"/>
        <v>36-40</v>
      </c>
      <c r="D235" s="19" t="s">
        <v>13</v>
      </c>
      <c r="E235" s="19">
        <v>6.7</v>
      </c>
      <c r="F235" s="19">
        <v>7</v>
      </c>
      <c r="G235" s="19">
        <v>7</v>
      </c>
      <c r="H235" s="19">
        <v>4</v>
      </c>
      <c r="I235" s="19">
        <v>2</v>
      </c>
      <c r="J235" s="19" t="s">
        <v>22</v>
      </c>
      <c r="K235" s="19">
        <v>8</v>
      </c>
      <c r="L235" s="20"/>
    </row>
    <row r="236" spans="1:12">
      <c r="A236" s="15" t="s">
        <v>255</v>
      </c>
      <c r="B236" s="16">
        <v>45</v>
      </c>
      <c r="C236" s="16" t="str">
        <f t="shared" si="3"/>
        <v>41-45</v>
      </c>
      <c r="D236" s="16" t="s">
        <v>21</v>
      </c>
      <c r="E236" s="16">
        <v>4.5</v>
      </c>
      <c r="F236" s="16">
        <v>8</v>
      </c>
      <c r="G236" s="16">
        <v>6</v>
      </c>
      <c r="H236" s="16">
        <v>1</v>
      </c>
      <c r="I236" s="16">
        <v>3</v>
      </c>
      <c r="J236" s="16" t="s">
        <v>14</v>
      </c>
      <c r="K236" s="16">
        <v>10</v>
      </c>
      <c r="L236" s="21"/>
    </row>
    <row r="237" spans="1:12">
      <c r="A237" s="18" t="s">
        <v>256</v>
      </c>
      <c r="B237" s="19">
        <v>48</v>
      </c>
      <c r="C237" s="16" t="str">
        <f t="shared" si="3"/>
        <v>46+</v>
      </c>
      <c r="D237" s="19" t="s">
        <v>21</v>
      </c>
      <c r="E237" s="19">
        <v>7.5</v>
      </c>
      <c r="F237" s="19">
        <v>4</v>
      </c>
      <c r="G237" s="19">
        <v>9</v>
      </c>
      <c r="H237" s="19">
        <v>4</v>
      </c>
      <c r="I237" s="19">
        <v>5</v>
      </c>
      <c r="J237" s="19" t="s">
        <v>19</v>
      </c>
      <c r="K237" s="19">
        <v>5</v>
      </c>
      <c r="L237" s="20"/>
    </row>
    <row r="238" spans="1:12">
      <c r="A238" s="15" t="s">
        <v>257</v>
      </c>
      <c r="B238" s="16">
        <v>43</v>
      </c>
      <c r="C238" s="16" t="str">
        <f t="shared" si="3"/>
        <v>41-45</v>
      </c>
      <c r="D238" s="16" t="s">
        <v>21</v>
      </c>
      <c r="E238" s="16">
        <v>5.7</v>
      </c>
      <c r="F238" s="16">
        <v>7</v>
      </c>
      <c r="G238" s="16">
        <v>7</v>
      </c>
      <c r="H238" s="16">
        <v>3</v>
      </c>
      <c r="I238" s="16">
        <v>2</v>
      </c>
      <c r="J238" s="16" t="s">
        <v>17</v>
      </c>
      <c r="K238" s="16">
        <v>9</v>
      </c>
      <c r="L238" s="21"/>
    </row>
    <row r="239" spans="1:12">
      <c r="A239" s="18" t="s">
        <v>258</v>
      </c>
      <c r="B239" s="19">
        <v>48</v>
      </c>
      <c r="C239" s="16" t="str">
        <f t="shared" si="3"/>
        <v>46+</v>
      </c>
      <c r="D239" s="19" t="s">
        <v>13</v>
      </c>
      <c r="E239" s="19">
        <v>7.2</v>
      </c>
      <c r="F239" s="19">
        <v>6</v>
      </c>
      <c r="G239" s="19">
        <v>8</v>
      </c>
      <c r="H239" s="19">
        <v>6</v>
      </c>
      <c r="I239" s="19">
        <v>2</v>
      </c>
      <c r="J239" s="19" t="s">
        <v>14</v>
      </c>
      <c r="K239" s="19">
        <v>9</v>
      </c>
      <c r="L239" s="20"/>
    </row>
    <row r="240" spans="1:12">
      <c r="A240" s="15" t="s">
        <v>259</v>
      </c>
      <c r="B240" s="16">
        <v>20</v>
      </c>
      <c r="C240" s="16" t="str">
        <f t="shared" si="3"/>
        <v>16–20</v>
      </c>
      <c r="D240" s="16" t="s">
        <v>21</v>
      </c>
      <c r="E240" s="16">
        <v>5.0999999999999996</v>
      </c>
      <c r="F240" s="16">
        <v>4</v>
      </c>
      <c r="G240" s="16">
        <v>5</v>
      </c>
      <c r="H240" s="16">
        <v>2</v>
      </c>
      <c r="I240" s="16">
        <v>1</v>
      </c>
      <c r="J240" s="16" t="s">
        <v>17</v>
      </c>
      <c r="K240" s="16">
        <v>9</v>
      </c>
      <c r="L240" s="21"/>
    </row>
    <row r="241" spans="1:12">
      <c r="A241" s="18" t="s">
        <v>260</v>
      </c>
      <c r="B241" s="19">
        <v>34</v>
      </c>
      <c r="C241" s="16" t="str">
        <f t="shared" si="3"/>
        <v>31-35</v>
      </c>
      <c r="D241" s="19" t="s">
        <v>13</v>
      </c>
      <c r="E241" s="19">
        <v>7.9</v>
      </c>
      <c r="F241" s="19">
        <v>6</v>
      </c>
      <c r="G241" s="19">
        <v>8</v>
      </c>
      <c r="H241" s="19">
        <v>4</v>
      </c>
      <c r="I241" s="19">
        <v>2</v>
      </c>
      <c r="J241" s="19" t="s">
        <v>28</v>
      </c>
      <c r="K241" s="19">
        <v>7</v>
      </c>
      <c r="L241" s="20"/>
    </row>
    <row r="242" spans="1:12">
      <c r="A242" s="15" t="s">
        <v>261</v>
      </c>
      <c r="B242" s="16">
        <v>19</v>
      </c>
      <c r="C242" s="16" t="str">
        <f t="shared" si="3"/>
        <v>16–20</v>
      </c>
      <c r="D242" s="16" t="s">
        <v>21</v>
      </c>
      <c r="E242" s="16">
        <v>6.2</v>
      </c>
      <c r="F242" s="16">
        <v>5</v>
      </c>
      <c r="G242" s="16">
        <v>7</v>
      </c>
      <c r="H242" s="16">
        <v>1</v>
      </c>
      <c r="I242" s="16">
        <v>3</v>
      </c>
      <c r="J242" s="16" t="s">
        <v>19</v>
      </c>
      <c r="K242" s="16">
        <v>8</v>
      </c>
      <c r="L242" s="21"/>
    </row>
    <row r="243" spans="1:12">
      <c r="A243" s="18" t="s">
        <v>262</v>
      </c>
      <c r="B243" s="19">
        <v>32</v>
      </c>
      <c r="C243" s="16" t="str">
        <f t="shared" si="3"/>
        <v>31-35</v>
      </c>
      <c r="D243" s="19" t="s">
        <v>13</v>
      </c>
      <c r="E243" s="19">
        <v>9.4</v>
      </c>
      <c r="F243" s="19">
        <v>3</v>
      </c>
      <c r="G243" s="19">
        <v>9</v>
      </c>
      <c r="H243" s="19">
        <v>2</v>
      </c>
      <c r="I243" s="19">
        <v>3</v>
      </c>
      <c r="J243" s="19" t="s">
        <v>28</v>
      </c>
      <c r="K243" s="19">
        <v>5</v>
      </c>
      <c r="L243" s="20"/>
    </row>
    <row r="244" spans="1:12">
      <c r="A244" s="15" t="s">
        <v>263</v>
      </c>
      <c r="B244" s="16">
        <v>43</v>
      </c>
      <c r="C244" s="16" t="str">
        <f t="shared" si="3"/>
        <v>41-45</v>
      </c>
      <c r="D244" s="16" t="s">
        <v>13</v>
      </c>
      <c r="E244" s="16">
        <v>4.8</v>
      </c>
      <c r="F244" s="16">
        <v>6</v>
      </c>
      <c r="G244" s="16">
        <v>5</v>
      </c>
      <c r="H244" s="16">
        <v>3</v>
      </c>
      <c r="I244" s="16">
        <v>5</v>
      </c>
      <c r="J244" s="16" t="s">
        <v>19</v>
      </c>
      <c r="K244" s="16">
        <v>10</v>
      </c>
      <c r="L244" s="21"/>
    </row>
    <row r="245" spans="1:12">
      <c r="A245" s="18" t="s">
        <v>264</v>
      </c>
      <c r="B245" s="19">
        <v>45</v>
      </c>
      <c r="C245" s="16" t="str">
        <f t="shared" si="3"/>
        <v>41-45</v>
      </c>
      <c r="D245" s="19" t="s">
        <v>13</v>
      </c>
      <c r="E245" s="19">
        <v>5.9</v>
      </c>
      <c r="F245" s="19">
        <v>6</v>
      </c>
      <c r="G245" s="19">
        <v>8</v>
      </c>
      <c r="H245" s="19">
        <v>0</v>
      </c>
      <c r="I245" s="19">
        <v>3</v>
      </c>
      <c r="J245" s="19" t="s">
        <v>14</v>
      </c>
      <c r="K245" s="19">
        <v>7</v>
      </c>
      <c r="L245" s="20"/>
    </row>
    <row r="246" spans="1:12">
      <c r="A246" s="15" t="s">
        <v>265</v>
      </c>
      <c r="B246" s="16">
        <v>44</v>
      </c>
      <c r="C246" s="16" t="str">
        <f t="shared" si="3"/>
        <v>41-45</v>
      </c>
      <c r="D246" s="16" t="s">
        <v>13</v>
      </c>
      <c r="E246" s="16">
        <v>3.6</v>
      </c>
      <c r="F246" s="16">
        <v>8</v>
      </c>
      <c r="G246" s="16">
        <v>5</v>
      </c>
      <c r="H246" s="16">
        <v>0</v>
      </c>
      <c r="I246" s="16">
        <v>2</v>
      </c>
      <c r="J246" s="16" t="s">
        <v>24</v>
      </c>
      <c r="K246" s="16">
        <v>10</v>
      </c>
      <c r="L246" s="21"/>
    </row>
    <row r="247" spans="1:12">
      <c r="A247" s="18" t="s">
        <v>266</v>
      </c>
      <c r="B247" s="19">
        <v>21</v>
      </c>
      <c r="C247" s="16" t="str">
        <f t="shared" si="3"/>
        <v>21–25</v>
      </c>
      <c r="D247" s="19" t="s">
        <v>21</v>
      </c>
      <c r="E247" s="19">
        <v>4.5</v>
      </c>
      <c r="F247" s="19">
        <v>6</v>
      </c>
      <c r="G247" s="19">
        <v>6</v>
      </c>
      <c r="H247" s="19">
        <v>4</v>
      </c>
      <c r="I247" s="19">
        <v>1</v>
      </c>
      <c r="J247" s="19" t="s">
        <v>17</v>
      </c>
      <c r="K247" s="19">
        <v>9</v>
      </c>
      <c r="L247" s="20"/>
    </row>
    <row r="248" spans="1:12">
      <c r="A248" s="15" t="s">
        <v>267</v>
      </c>
      <c r="B248" s="16">
        <v>39</v>
      </c>
      <c r="C248" s="16" t="str">
        <f t="shared" si="3"/>
        <v>36-40</v>
      </c>
      <c r="D248" s="16" t="s">
        <v>21</v>
      </c>
      <c r="E248" s="16">
        <v>6.6</v>
      </c>
      <c r="F248" s="16">
        <v>6</v>
      </c>
      <c r="G248" s="16">
        <v>7</v>
      </c>
      <c r="H248" s="16">
        <v>3</v>
      </c>
      <c r="I248" s="16">
        <v>3</v>
      </c>
      <c r="J248" s="16" t="s">
        <v>17</v>
      </c>
      <c r="K248" s="16">
        <v>7</v>
      </c>
      <c r="L248" s="21"/>
    </row>
    <row r="249" spans="1:12">
      <c r="A249" s="18" t="s">
        <v>268</v>
      </c>
      <c r="B249" s="19">
        <v>44</v>
      </c>
      <c r="C249" s="16" t="str">
        <f t="shared" si="3"/>
        <v>41-45</v>
      </c>
      <c r="D249" s="19" t="s">
        <v>13</v>
      </c>
      <c r="E249" s="19">
        <v>7.5</v>
      </c>
      <c r="F249" s="19">
        <v>6</v>
      </c>
      <c r="G249" s="19">
        <v>9</v>
      </c>
      <c r="H249" s="19">
        <v>2</v>
      </c>
      <c r="I249" s="19">
        <v>1</v>
      </c>
      <c r="J249" s="19" t="s">
        <v>22</v>
      </c>
      <c r="K249" s="19">
        <v>6</v>
      </c>
      <c r="L249" s="20"/>
    </row>
    <row r="250" spans="1:12">
      <c r="A250" s="15" t="s">
        <v>269</v>
      </c>
      <c r="B250" s="16">
        <v>46</v>
      </c>
      <c r="C250" s="16" t="str">
        <f t="shared" si="3"/>
        <v>46+</v>
      </c>
      <c r="D250" s="16" t="s">
        <v>21</v>
      </c>
      <c r="E250" s="16">
        <v>10.8</v>
      </c>
      <c r="F250" s="16">
        <v>5</v>
      </c>
      <c r="G250" s="16">
        <v>10</v>
      </c>
      <c r="H250" s="16">
        <v>2</v>
      </c>
      <c r="I250" s="16">
        <v>3</v>
      </c>
      <c r="J250" s="16" t="s">
        <v>28</v>
      </c>
      <c r="K250" s="16">
        <v>4</v>
      </c>
      <c r="L250" s="21"/>
    </row>
    <row r="251" spans="1:12">
      <c r="A251" s="18" t="s">
        <v>270</v>
      </c>
      <c r="B251" s="19">
        <v>48</v>
      </c>
      <c r="C251" s="16" t="str">
        <f t="shared" si="3"/>
        <v>46+</v>
      </c>
      <c r="D251" s="19" t="s">
        <v>13</v>
      </c>
      <c r="E251" s="19">
        <v>5.3</v>
      </c>
      <c r="F251" s="19">
        <v>5</v>
      </c>
      <c r="G251" s="19">
        <v>5</v>
      </c>
      <c r="H251" s="19">
        <v>2</v>
      </c>
      <c r="I251" s="19">
        <v>3</v>
      </c>
      <c r="J251" s="19" t="s">
        <v>17</v>
      </c>
      <c r="K251" s="19">
        <v>8</v>
      </c>
      <c r="L251" s="20"/>
    </row>
    <row r="252" spans="1:12">
      <c r="A252" s="15" t="s">
        <v>271</v>
      </c>
      <c r="B252" s="16">
        <v>36</v>
      </c>
      <c r="C252" s="16" t="str">
        <f t="shared" si="3"/>
        <v>36-40</v>
      </c>
      <c r="D252" s="16" t="s">
        <v>21</v>
      </c>
      <c r="E252" s="16">
        <v>3.8</v>
      </c>
      <c r="F252" s="16">
        <v>7</v>
      </c>
      <c r="G252" s="16">
        <v>5</v>
      </c>
      <c r="H252" s="16">
        <v>3</v>
      </c>
      <c r="I252" s="16">
        <v>2</v>
      </c>
      <c r="J252" s="16" t="s">
        <v>14</v>
      </c>
      <c r="K252" s="16">
        <v>9</v>
      </c>
      <c r="L252" s="21"/>
    </row>
    <row r="253" spans="1:12">
      <c r="A253" s="18" t="s">
        <v>272</v>
      </c>
      <c r="B253" s="19">
        <v>47</v>
      </c>
      <c r="C253" s="16" t="str">
        <f t="shared" si="3"/>
        <v>46+</v>
      </c>
      <c r="D253" s="19" t="s">
        <v>21</v>
      </c>
      <c r="E253" s="19">
        <v>6.9</v>
      </c>
      <c r="F253" s="19">
        <v>6</v>
      </c>
      <c r="G253" s="19">
        <v>8</v>
      </c>
      <c r="H253" s="19">
        <v>4</v>
      </c>
      <c r="I253" s="19">
        <v>2</v>
      </c>
      <c r="J253" s="19" t="s">
        <v>24</v>
      </c>
      <c r="K253" s="19">
        <v>8</v>
      </c>
      <c r="L253" s="20"/>
    </row>
    <row r="254" spans="1:12">
      <c r="A254" s="15" t="s">
        <v>273</v>
      </c>
      <c r="B254" s="16">
        <v>38</v>
      </c>
      <c r="C254" s="16" t="str">
        <f t="shared" si="3"/>
        <v>36-40</v>
      </c>
      <c r="D254" s="16" t="s">
        <v>21</v>
      </c>
      <c r="E254" s="16">
        <v>3.5</v>
      </c>
      <c r="F254" s="16">
        <v>9</v>
      </c>
      <c r="G254" s="16">
        <v>4</v>
      </c>
      <c r="H254" s="16">
        <v>0</v>
      </c>
      <c r="I254" s="16">
        <v>0</v>
      </c>
      <c r="J254" s="16" t="s">
        <v>14</v>
      </c>
      <c r="K254" s="16">
        <v>10</v>
      </c>
      <c r="L254" s="21"/>
    </row>
    <row r="255" spans="1:12">
      <c r="A255" s="18" t="s">
        <v>274</v>
      </c>
      <c r="B255" s="19">
        <v>48</v>
      </c>
      <c r="C255" s="16" t="str">
        <f t="shared" si="3"/>
        <v>46+</v>
      </c>
      <c r="D255" s="19" t="s">
        <v>13</v>
      </c>
      <c r="E255" s="19">
        <v>6.5</v>
      </c>
      <c r="F255" s="19">
        <v>5</v>
      </c>
      <c r="G255" s="19">
        <v>8</v>
      </c>
      <c r="H255" s="19">
        <v>6</v>
      </c>
      <c r="I255" s="19">
        <v>4</v>
      </c>
      <c r="J255" s="19" t="s">
        <v>28</v>
      </c>
      <c r="K255" s="19">
        <v>8</v>
      </c>
      <c r="L255" s="20"/>
    </row>
    <row r="256" spans="1:12">
      <c r="A256" s="15" t="s">
        <v>275</v>
      </c>
      <c r="B256" s="16">
        <v>18</v>
      </c>
      <c r="C256" s="16" t="str">
        <f t="shared" si="3"/>
        <v>16–20</v>
      </c>
      <c r="D256" s="16" t="s">
        <v>21</v>
      </c>
      <c r="E256" s="16">
        <v>4.5999999999999996</v>
      </c>
      <c r="F256" s="16">
        <v>8</v>
      </c>
      <c r="G256" s="16">
        <v>7</v>
      </c>
      <c r="H256" s="16">
        <v>6</v>
      </c>
      <c r="I256" s="16">
        <v>3</v>
      </c>
      <c r="J256" s="16" t="s">
        <v>22</v>
      </c>
      <c r="K256" s="16">
        <v>9</v>
      </c>
      <c r="L256" s="21"/>
    </row>
    <row r="257" spans="1:12">
      <c r="A257" s="18" t="s">
        <v>276</v>
      </c>
      <c r="B257" s="19">
        <v>33</v>
      </c>
      <c r="C257" s="16" t="str">
        <f t="shared" si="3"/>
        <v>31-35</v>
      </c>
      <c r="D257" s="19" t="s">
        <v>21</v>
      </c>
      <c r="E257" s="19">
        <v>5.9</v>
      </c>
      <c r="F257" s="19">
        <v>4</v>
      </c>
      <c r="G257" s="19">
        <v>7</v>
      </c>
      <c r="H257" s="19">
        <v>0</v>
      </c>
      <c r="I257" s="19">
        <v>3</v>
      </c>
      <c r="J257" s="19" t="s">
        <v>17</v>
      </c>
      <c r="K257" s="19">
        <v>5</v>
      </c>
      <c r="L257" s="20"/>
    </row>
    <row r="258" spans="1:12">
      <c r="A258" s="15" t="s">
        <v>277</v>
      </c>
      <c r="B258" s="16">
        <v>40</v>
      </c>
      <c r="C258" s="16" t="str">
        <f t="shared" si="3"/>
        <v>36-40</v>
      </c>
      <c r="D258" s="16" t="s">
        <v>13</v>
      </c>
      <c r="E258" s="16">
        <v>7.5</v>
      </c>
      <c r="F258" s="16">
        <v>4</v>
      </c>
      <c r="G258" s="16">
        <v>8</v>
      </c>
      <c r="H258" s="16">
        <v>5</v>
      </c>
      <c r="I258" s="16">
        <v>0</v>
      </c>
      <c r="J258" s="16" t="s">
        <v>14</v>
      </c>
      <c r="K258" s="16">
        <v>7</v>
      </c>
      <c r="L258" s="21"/>
    </row>
    <row r="259" spans="1:12">
      <c r="A259" s="18" t="s">
        <v>278</v>
      </c>
      <c r="B259" s="19">
        <v>46</v>
      </c>
      <c r="C259" s="16" t="str">
        <f t="shared" ref="C259:C322" si="4">IF(B259&lt;=20,"16–20",IF(B259&lt;=25,"21–25",IF(B259&lt;=30,"26–30",IF(B259&lt;=35,"31-35",IF(B259&lt;=40,"36-40",IF(B259&lt;=45,"41-45","46+"))))))</f>
        <v>46+</v>
      </c>
      <c r="D259" s="19" t="s">
        <v>13</v>
      </c>
      <c r="E259" s="19">
        <v>5.3</v>
      </c>
      <c r="F259" s="19">
        <v>7</v>
      </c>
      <c r="G259" s="19">
        <v>8</v>
      </c>
      <c r="H259" s="19">
        <v>5</v>
      </c>
      <c r="I259" s="19">
        <v>5</v>
      </c>
      <c r="J259" s="19" t="s">
        <v>19</v>
      </c>
      <c r="K259" s="19">
        <v>9</v>
      </c>
      <c r="L259" s="20"/>
    </row>
    <row r="260" spans="1:12">
      <c r="A260" s="15" t="s">
        <v>279</v>
      </c>
      <c r="B260" s="16">
        <v>18</v>
      </c>
      <c r="C260" s="16" t="str">
        <f t="shared" si="4"/>
        <v>16–20</v>
      </c>
      <c r="D260" s="16" t="s">
        <v>21</v>
      </c>
      <c r="E260" s="16">
        <v>7.2</v>
      </c>
      <c r="F260" s="16">
        <v>4</v>
      </c>
      <c r="G260" s="16">
        <v>7</v>
      </c>
      <c r="H260" s="16">
        <v>3</v>
      </c>
      <c r="I260" s="16">
        <v>2</v>
      </c>
      <c r="J260" s="16" t="s">
        <v>24</v>
      </c>
      <c r="K260" s="16">
        <v>6</v>
      </c>
      <c r="L260" s="21"/>
    </row>
    <row r="261" spans="1:12">
      <c r="A261" s="18" t="s">
        <v>280</v>
      </c>
      <c r="B261" s="19">
        <v>39</v>
      </c>
      <c r="C261" s="16" t="str">
        <f t="shared" si="4"/>
        <v>36-40</v>
      </c>
      <c r="D261" s="19" t="s">
        <v>21</v>
      </c>
      <c r="E261" s="19">
        <v>7.1</v>
      </c>
      <c r="F261" s="19">
        <v>4</v>
      </c>
      <c r="G261" s="19">
        <v>8</v>
      </c>
      <c r="H261" s="19">
        <v>0</v>
      </c>
      <c r="I261" s="19">
        <v>2</v>
      </c>
      <c r="J261" s="19" t="s">
        <v>14</v>
      </c>
      <c r="K261" s="19">
        <v>7</v>
      </c>
      <c r="L261" s="20"/>
    </row>
    <row r="262" spans="1:12">
      <c r="A262" s="15" t="s">
        <v>281</v>
      </c>
      <c r="B262" s="16">
        <v>47</v>
      </c>
      <c r="C262" s="16" t="str">
        <f t="shared" si="4"/>
        <v>46+</v>
      </c>
      <c r="D262" s="16" t="s">
        <v>21</v>
      </c>
      <c r="E262" s="16">
        <v>2.1</v>
      </c>
      <c r="F262" s="16">
        <v>8</v>
      </c>
      <c r="G262" s="16">
        <v>4</v>
      </c>
      <c r="H262" s="16">
        <v>5</v>
      </c>
      <c r="I262" s="16">
        <v>1</v>
      </c>
      <c r="J262" s="16" t="s">
        <v>24</v>
      </c>
      <c r="K262" s="16">
        <v>10</v>
      </c>
      <c r="L262" s="21"/>
    </row>
    <row r="263" spans="1:12">
      <c r="A263" s="18" t="s">
        <v>282</v>
      </c>
      <c r="B263" s="19">
        <v>37</v>
      </c>
      <c r="C263" s="16" t="str">
        <f t="shared" si="4"/>
        <v>36-40</v>
      </c>
      <c r="D263" s="19" t="s">
        <v>21</v>
      </c>
      <c r="E263" s="19">
        <v>3.9</v>
      </c>
      <c r="F263" s="19">
        <v>8</v>
      </c>
      <c r="G263" s="19">
        <v>6</v>
      </c>
      <c r="H263" s="19">
        <v>3</v>
      </c>
      <c r="I263" s="19">
        <v>0</v>
      </c>
      <c r="J263" s="19" t="s">
        <v>17</v>
      </c>
      <c r="K263" s="19">
        <v>10</v>
      </c>
      <c r="L263" s="20"/>
    </row>
    <row r="264" spans="1:12">
      <c r="A264" s="15" t="s">
        <v>283</v>
      </c>
      <c r="B264" s="16">
        <v>38</v>
      </c>
      <c r="C264" s="16" t="str">
        <f t="shared" si="4"/>
        <v>36-40</v>
      </c>
      <c r="D264" s="16" t="s">
        <v>21</v>
      </c>
      <c r="E264" s="16">
        <v>2.7</v>
      </c>
      <c r="F264" s="16">
        <v>6</v>
      </c>
      <c r="G264" s="16">
        <v>3</v>
      </c>
      <c r="H264" s="16">
        <v>4</v>
      </c>
      <c r="I264" s="16">
        <v>4</v>
      </c>
      <c r="J264" s="16" t="s">
        <v>19</v>
      </c>
      <c r="K264" s="16">
        <v>10</v>
      </c>
      <c r="L264" s="21"/>
    </row>
    <row r="265" spans="1:12">
      <c r="A265" s="18" t="s">
        <v>284</v>
      </c>
      <c r="B265" s="19">
        <v>17</v>
      </c>
      <c r="C265" s="16" t="str">
        <f t="shared" si="4"/>
        <v>16–20</v>
      </c>
      <c r="D265" s="19" t="s">
        <v>13</v>
      </c>
      <c r="E265" s="19">
        <v>9.1</v>
      </c>
      <c r="F265" s="19">
        <v>4</v>
      </c>
      <c r="G265" s="19">
        <v>9</v>
      </c>
      <c r="H265" s="19">
        <v>7</v>
      </c>
      <c r="I265" s="19">
        <v>4</v>
      </c>
      <c r="J265" s="19" t="s">
        <v>22</v>
      </c>
      <c r="K265" s="19">
        <v>4</v>
      </c>
      <c r="L265" s="20"/>
    </row>
    <row r="266" spans="1:12">
      <c r="A266" s="15" t="s">
        <v>285</v>
      </c>
      <c r="B266" s="16">
        <v>42</v>
      </c>
      <c r="C266" s="16" t="str">
        <f t="shared" si="4"/>
        <v>41-45</v>
      </c>
      <c r="D266" s="16" t="s">
        <v>13</v>
      </c>
      <c r="E266" s="16">
        <v>5.3</v>
      </c>
      <c r="F266" s="16">
        <v>7</v>
      </c>
      <c r="G266" s="16">
        <v>7</v>
      </c>
      <c r="H266" s="16">
        <v>4</v>
      </c>
      <c r="I266" s="16">
        <v>2</v>
      </c>
      <c r="J266" s="16" t="s">
        <v>22</v>
      </c>
      <c r="K266" s="16">
        <v>8</v>
      </c>
      <c r="L266" s="21"/>
    </row>
    <row r="267" spans="1:12">
      <c r="A267" s="18" t="s">
        <v>286</v>
      </c>
      <c r="B267" s="19">
        <v>17</v>
      </c>
      <c r="C267" s="16" t="str">
        <f t="shared" si="4"/>
        <v>16–20</v>
      </c>
      <c r="D267" s="19" t="s">
        <v>13</v>
      </c>
      <c r="E267" s="19">
        <v>8.6999999999999993</v>
      </c>
      <c r="F267" s="19">
        <v>4</v>
      </c>
      <c r="G267" s="19">
        <v>8</v>
      </c>
      <c r="H267" s="19">
        <v>1</v>
      </c>
      <c r="I267" s="19">
        <v>1</v>
      </c>
      <c r="J267" s="19" t="s">
        <v>19</v>
      </c>
      <c r="K267" s="19">
        <v>7</v>
      </c>
      <c r="L267" s="20"/>
    </row>
    <row r="268" spans="1:12">
      <c r="A268" s="15" t="s">
        <v>287</v>
      </c>
      <c r="B268" s="16">
        <v>41</v>
      </c>
      <c r="C268" s="16" t="str">
        <f t="shared" si="4"/>
        <v>41-45</v>
      </c>
      <c r="D268" s="16" t="s">
        <v>21</v>
      </c>
      <c r="E268" s="16">
        <v>2.6</v>
      </c>
      <c r="F268" s="16">
        <v>8</v>
      </c>
      <c r="G268" s="16">
        <v>4</v>
      </c>
      <c r="H268" s="16">
        <v>2</v>
      </c>
      <c r="I268" s="16">
        <v>2</v>
      </c>
      <c r="J268" s="16" t="s">
        <v>24</v>
      </c>
      <c r="K268" s="16">
        <v>10</v>
      </c>
      <c r="L268" s="21"/>
    </row>
    <row r="269" spans="1:12">
      <c r="A269" s="18" t="s">
        <v>288</v>
      </c>
      <c r="B269" s="19">
        <v>32</v>
      </c>
      <c r="C269" s="16" t="str">
        <f t="shared" si="4"/>
        <v>31-35</v>
      </c>
      <c r="D269" s="19" t="s">
        <v>13</v>
      </c>
      <c r="E269" s="19">
        <v>4.5</v>
      </c>
      <c r="F269" s="19">
        <v>7</v>
      </c>
      <c r="G269" s="19">
        <v>6</v>
      </c>
      <c r="H269" s="19">
        <v>1</v>
      </c>
      <c r="I269" s="19">
        <v>2</v>
      </c>
      <c r="J269" s="19" t="s">
        <v>17</v>
      </c>
      <c r="K269" s="19">
        <v>8</v>
      </c>
      <c r="L269" s="20"/>
    </row>
    <row r="270" spans="1:12">
      <c r="A270" s="15" t="s">
        <v>289</v>
      </c>
      <c r="B270" s="16">
        <v>48</v>
      </c>
      <c r="C270" s="16" t="str">
        <f t="shared" si="4"/>
        <v>46+</v>
      </c>
      <c r="D270" s="16" t="s">
        <v>21</v>
      </c>
      <c r="E270" s="16">
        <v>6.9</v>
      </c>
      <c r="F270" s="16">
        <v>5</v>
      </c>
      <c r="G270" s="16">
        <v>9</v>
      </c>
      <c r="H270" s="16">
        <v>4</v>
      </c>
      <c r="I270" s="16">
        <v>1</v>
      </c>
      <c r="J270" s="16" t="s">
        <v>14</v>
      </c>
      <c r="K270" s="16">
        <v>6</v>
      </c>
      <c r="L270" s="21"/>
    </row>
    <row r="271" spans="1:12">
      <c r="A271" s="18" t="s">
        <v>290</v>
      </c>
      <c r="B271" s="19">
        <v>24</v>
      </c>
      <c r="C271" s="16" t="str">
        <f t="shared" si="4"/>
        <v>21–25</v>
      </c>
      <c r="D271" s="19" t="s">
        <v>21</v>
      </c>
      <c r="E271" s="19">
        <v>5.8</v>
      </c>
      <c r="F271" s="19">
        <v>8</v>
      </c>
      <c r="G271" s="19">
        <v>6</v>
      </c>
      <c r="H271" s="19">
        <v>1</v>
      </c>
      <c r="I271" s="19">
        <v>2</v>
      </c>
      <c r="J271" s="19" t="s">
        <v>19</v>
      </c>
      <c r="K271" s="19">
        <v>10</v>
      </c>
      <c r="L271" s="20"/>
    </row>
    <row r="272" spans="1:12">
      <c r="A272" s="15" t="s">
        <v>291</v>
      </c>
      <c r="B272" s="16">
        <v>44</v>
      </c>
      <c r="C272" s="16" t="str">
        <f t="shared" si="4"/>
        <v>41-45</v>
      </c>
      <c r="D272" s="16" t="s">
        <v>21</v>
      </c>
      <c r="E272" s="16">
        <v>6.5</v>
      </c>
      <c r="F272" s="16">
        <v>5</v>
      </c>
      <c r="G272" s="16">
        <v>6</v>
      </c>
      <c r="H272" s="16">
        <v>2</v>
      </c>
      <c r="I272" s="16">
        <v>3</v>
      </c>
      <c r="J272" s="16" t="s">
        <v>28</v>
      </c>
      <c r="K272" s="16">
        <v>8</v>
      </c>
      <c r="L272" s="21"/>
    </row>
    <row r="273" spans="1:12">
      <c r="A273" s="18" t="s">
        <v>292</v>
      </c>
      <c r="B273" s="19">
        <v>41</v>
      </c>
      <c r="C273" s="16" t="str">
        <f t="shared" si="4"/>
        <v>41-45</v>
      </c>
      <c r="D273" s="19" t="s">
        <v>13</v>
      </c>
      <c r="E273" s="19">
        <v>3.2</v>
      </c>
      <c r="F273" s="19">
        <v>8</v>
      </c>
      <c r="G273" s="19">
        <v>6</v>
      </c>
      <c r="H273" s="19">
        <v>0</v>
      </c>
      <c r="I273" s="19">
        <v>4</v>
      </c>
      <c r="J273" s="19" t="s">
        <v>24</v>
      </c>
      <c r="K273" s="19">
        <v>10</v>
      </c>
      <c r="L273" s="20"/>
    </row>
    <row r="274" spans="1:12">
      <c r="A274" s="15" t="s">
        <v>293</v>
      </c>
      <c r="B274" s="16">
        <v>40</v>
      </c>
      <c r="C274" s="16" t="str">
        <f t="shared" si="4"/>
        <v>36-40</v>
      </c>
      <c r="D274" s="16" t="s">
        <v>21</v>
      </c>
      <c r="E274" s="16">
        <v>8</v>
      </c>
      <c r="F274" s="16">
        <v>5</v>
      </c>
      <c r="G274" s="16">
        <v>8</v>
      </c>
      <c r="H274" s="16">
        <v>3</v>
      </c>
      <c r="I274" s="16">
        <v>3</v>
      </c>
      <c r="J274" s="16" t="s">
        <v>22</v>
      </c>
      <c r="K274" s="16">
        <v>6</v>
      </c>
      <c r="L274" s="21"/>
    </row>
    <row r="275" spans="1:12">
      <c r="A275" s="18" t="s">
        <v>294</v>
      </c>
      <c r="B275" s="19">
        <v>39</v>
      </c>
      <c r="C275" s="16" t="str">
        <f t="shared" si="4"/>
        <v>36-40</v>
      </c>
      <c r="D275" s="19" t="s">
        <v>13</v>
      </c>
      <c r="E275" s="19">
        <v>6.9</v>
      </c>
      <c r="F275" s="19">
        <v>5</v>
      </c>
      <c r="G275" s="19">
        <v>7</v>
      </c>
      <c r="H275" s="19">
        <v>3</v>
      </c>
      <c r="I275" s="19">
        <v>0</v>
      </c>
      <c r="J275" s="19" t="s">
        <v>19</v>
      </c>
      <c r="K275" s="19">
        <v>9</v>
      </c>
      <c r="L275" s="20"/>
    </row>
    <row r="276" spans="1:12">
      <c r="A276" s="15" t="s">
        <v>295</v>
      </c>
      <c r="B276" s="16">
        <v>28</v>
      </c>
      <c r="C276" s="16" t="str">
        <f t="shared" si="4"/>
        <v>26–30</v>
      </c>
      <c r="D276" s="16" t="s">
        <v>21</v>
      </c>
      <c r="E276" s="16">
        <v>6.2</v>
      </c>
      <c r="F276" s="16">
        <v>3</v>
      </c>
      <c r="G276" s="16">
        <v>8</v>
      </c>
      <c r="H276" s="16">
        <v>0</v>
      </c>
      <c r="I276" s="16">
        <v>3</v>
      </c>
      <c r="J276" s="16" t="s">
        <v>22</v>
      </c>
      <c r="K276" s="16">
        <v>5</v>
      </c>
      <c r="L276" s="21"/>
    </row>
    <row r="277" spans="1:12">
      <c r="A277" s="18" t="s">
        <v>296</v>
      </c>
      <c r="B277" s="19">
        <v>22</v>
      </c>
      <c r="C277" s="16" t="str">
        <f t="shared" si="4"/>
        <v>21–25</v>
      </c>
      <c r="D277" s="19" t="s">
        <v>13</v>
      </c>
      <c r="E277" s="19">
        <v>4.3</v>
      </c>
      <c r="F277" s="19">
        <v>7</v>
      </c>
      <c r="G277" s="19">
        <v>5</v>
      </c>
      <c r="H277" s="19">
        <v>4</v>
      </c>
      <c r="I277" s="19">
        <v>2</v>
      </c>
      <c r="J277" s="19" t="s">
        <v>24</v>
      </c>
      <c r="K277" s="19">
        <v>10</v>
      </c>
      <c r="L277" s="20"/>
    </row>
    <row r="278" spans="1:12">
      <c r="A278" s="15" t="s">
        <v>297</v>
      </c>
      <c r="B278" s="16">
        <v>35</v>
      </c>
      <c r="C278" s="16" t="str">
        <f t="shared" si="4"/>
        <v>31-35</v>
      </c>
      <c r="D278" s="16" t="s">
        <v>13</v>
      </c>
      <c r="E278" s="16">
        <v>6.1</v>
      </c>
      <c r="F278" s="16">
        <v>7</v>
      </c>
      <c r="G278" s="16">
        <v>8</v>
      </c>
      <c r="H278" s="16">
        <v>3</v>
      </c>
      <c r="I278" s="16">
        <v>5</v>
      </c>
      <c r="J278" s="16" t="s">
        <v>22</v>
      </c>
      <c r="K278" s="16">
        <v>9</v>
      </c>
      <c r="L278" s="21"/>
    </row>
    <row r="279" spans="1:12">
      <c r="A279" s="18" t="s">
        <v>298</v>
      </c>
      <c r="B279" s="19">
        <v>16</v>
      </c>
      <c r="C279" s="16" t="str">
        <f t="shared" si="4"/>
        <v>16–20</v>
      </c>
      <c r="D279" s="19" t="s">
        <v>21</v>
      </c>
      <c r="E279" s="19">
        <v>5</v>
      </c>
      <c r="F279" s="19">
        <v>7</v>
      </c>
      <c r="G279" s="19">
        <v>6</v>
      </c>
      <c r="H279" s="19">
        <v>1</v>
      </c>
      <c r="I279" s="19">
        <v>5</v>
      </c>
      <c r="J279" s="19" t="s">
        <v>19</v>
      </c>
      <c r="K279" s="19">
        <v>10</v>
      </c>
      <c r="L279" s="20"/>
    </row>
    <row r="280" spans="1:12">
      <c r="A280" s="15" t="s">
        <v>299</v>
      </c>
      <c r="B280" s="16">
        <v>23</v>
      </c>
      <c r="C280" s="16" t="str">
        <f t="shared" si="4"/>
        <v>21–25</v>
      </c>
      <c r="D280" s="16" t="s">
        <v>13</v>
      </c>
      <c r="E280" s="16">
        <v>2.5</v>
      </c>
      <c r="F280" s="16">
        <v>9</v>
      </c>
      <c r="G280" s="16">
        <v>5</v>
      </c>
      <c r="H280" s="16">
        <v>7</v>
      </c>
      <c r="I280" s="16">
        <v>5</v>
      </c>
      <c r="J280" s="16" t="s">
        <v>24</v>
      </c>
      <c r="K280" s="16">
        <v>10</v>
      </c>
      <c r="L280" s="21"/>
    </row>
    <row r="281" spans="1:12">
      <c r="A281" s="18" t="s">
        <v>300</v>
      </c>
      <c r="B281" s="19">
        <v>31</v>
      </c>
      <c r="C281" s="16" t="str">
        <f t="shared" si="4"/>
        <v>31-35</v>
      </c>
      <c r="D281" s="19" t="s">
        <v>13</v>
      </c>
      <c r="E281" s="19">
        <v>5.4</v>
      </c>
      <c r="F281" s="19">
        <v>5</v>
      </c>
      <c r="G281" s="19">
        <v>8</v>
      </c>
      <c r="H281" s="19">
        <v>5</v>
      </c>
      <c r="I281" s="19">
        <v>2</v>
      </c>
      <c r="J281" s="19" t="s">
        <v>28</v>
      </c>
      <c r="K281" s="19">
        <v>7</v>
      </c>
      <c r="L281" s="20"/>
    </row>
    <row r="282" spans="1:12">
      <c r="A282" s="15" t="s">
        <v>301</v>
      </c>
      <c r="B282" s="16">
        <v>29</v>
      </c>
      <c r="C282" s="16" t="str">
        <f t="shared" si="4"/>
        <v>26–30</v>
      </c>
      <c r="D282" s="16" t="s">
        <v>21</v>
      </c>
      <c r="E282" s="16">
        <v>5.2</v>
      </c>
      <c r="F282" s="16">
        <v>7</v>
      </c>
      <c r="G282" s="16">
        <v>6</v>
      </c>
      <c r="H282" s="16">
        <v>1</v>
      </c>
      <c r="I282" s="16">
        <v>5</v>
      </c>
      <c r="J282" s="16" t="s">
        <v>19</v>
      </c>
      <c r="K282" s="16">
        <v>10</v>
      </c>
      <c r="L282" s="21"/>
    </row>
    <row r="283" spans="1:12">
      <c r="A283" s="18" t="s">
        <v>302</v>
      </c>
      <c r="B283" s="19">
        <v>27</v>
      </c>
      <c r="C283" s="16" t="str">
        <f t="shared" si="4"/>
        <v>26–30</v>
      </c>
      <c r="D283" s="19" t="s">
        <v>21</v>
      </c>
      <c r="E283" s="19">
        <v>7.4</v>
      </c>
      <c r="F283" s="19">
        <v>4</v>
      </c>
      <c r="G283" s="19">
        <v>9</v>
      </c>
      <c r="H283" s="19">
        <v>5</v>
      </c>
      <c r="I283" s="19">
        <v>3</v>
      </c>
      <c r="J283" s="19" t="s">
        <v>14</v>
      </c>
      <c r="K283" s="19">
        <v>5</v>
      </c>
      <c r="L283" s="20"/>
    </row>
    <row r="284" spans="1:12">
      <c r="A284" s="15" t="s">
        <v>303</v>
      </c>
      <c r="B284" s="16">
        <v>38</v>
      </c>
      <c r="C284" s="16" t="str">
        <f t="shared" si="4"/>
        <v>36-40</v>
      </c>
      <c r="D284" s="16" t="s">
        <v>21</v>
      </c>
      <c r="E284" s="16">
        <v>1.5</v>
      </c>
      <c r="F284" s="16">
        <v>9</v>
      </c>
      <c r="G284" s="16">
        <v>4</v>
      </c>
      <c r="H284" s="16">
        <v>5</v>
      </c>
      <c r="I284" s="16">
        <v>5</v>
      </c>
      <c r="J284" s="16" t="s">
        <v>17</v>
      </c>
      <c r="K284" s="16">
        <v>10</v>
      </c>
      <c r="L284" s="21"/>
    </row>
    <row r="285" spans="1:12">
      <c r="A285" s="18" t="s">
        <v>304</v>
      </c>
      <c r="B285" s="19">
        <v>30</v>
      </c>
      <c r="C285" s="16" t="str">
        <f t="shared" si="4"/>
        <v>26–30</v>
      </c>
      <c r="D285" s="19" t="s">
        <v>21</v>
      </c>
      <c r="E285" s="19">
        <v>5.9</v>
      </c>
      <c r="F285" s="19">
        <v>6</v>
      </c>
      <c r="G285" s="19">
        <v>9</v>
      </c>
      <c r="H285" s="19">
        <v>3</v>
      </c>
      <c r="I285" s="19">
        <v>2</v>
      </c>
      <c r="J285" s="19" t="s">
        <v>19</v>
      </c>
      <c r="K285" s="19">
        <v>7</v>
      </c>
      <c r="L285" s="20"/>
    </row>
    <row r="286" spans="1:12">
      <c r="A286" s="15" t="s">
        <v>305</v>
      </c>
      <c r="B286" s="16">
        <v>43</v>
      </c>
      <c r="C286" s="16" t="str">
        <f t="shared" si="4"/>
        <v>41-45</v>
      </c>
      <c r="D286" s="16" t="s">
        <v>21</v>
      </c>
      <c r="E286" s="16">
        <v>3.4</v>
      </c>
      <c r="F286" s="16">
        <v>7</v>
      </c>
      <c r="G286" s="16">
        <v>7</v>
      </c>
      <c r="H286" s="16">
        <v>4</v>
      </c>
      <c r="I286" s="16">
        <v>2</v>
      </c>
      <c r="J286" s="16" t="s">
        <v>24</v>
      </c>
      <c r="K286" s="16">
        <v>10</v>
      </c>
      <c r="L286" s="21"/>
    </row>
    <row r="287" spans="1:12">
      <c r="A287" s="18" t="s">
        <v>306</v>
      </c>
      <c r="B287" s="19">
        <v>49</v>
      </c>
      <c r="C287" s="16" t="str">
        <f t="shared" si="4"/>
        <v>46+</v>
      </c>
      <c r="D287" s="19" t="s">
        <v>13</v>
      </c>
      <c r="E287" s="19">
        <v>6.1</v>
      </c>
      <c r="F287" s="19">
        <v>5</v>
      </c>
      <c r="G287" s="19">
        <v>6</v>
      </c>
      <c r="H287" s="19">
        <v>4</v>
      </c>
      <c r="I287" s="19">
        <v>3</v>
      </c>
      <c r="J287" s="19" t="s">
        <v>17</v>
      </c>
      <c r="K287" s="19">
        <v>9</v>
      </c>
      <c r="L287" s="20"/>
    </row>
    <row r="288" spans="1:12">
      <c r="A288" s="15" t="s">
        <v>307</v>
      </c>
      <c r="B288" s="16">
        <v>17</v>
      </c>
      <c r="C288" s="16" t="str">
        <f t="shared" si="4"/>
        <v>16–20</v>
      </c>
      <c r="D288" s="16" t="s">
        <v>13</v>
      </c>
      <c r="E288" s="16">
        <v>6.2</v>
      </c>
      <c r="F288" s="16">
        <v>6</v>
      </c>
      <c r="G288" s="16">
        <v>8</v>
      </c>
      <c r="H288" s="16">
        <v>0</v>
      </c>
      <c r="I288" s="16">
        <v>3</v>
      </c>
      <c r="J288" s="16" t="s">
        <v>19</v>
      </c>
      <c r="K288" s="16">
        <v>7</v>
      </c>
      <c r="L288" s="21"/>
    </row>
    <row r="289" spans="1:12">
      <c r="A289" s="18" t="s">
        <v>308</v>
      </c>
      <c r="B289" s="19">
        <v>47</v>
      </c>
      <c r="C289" s="16" t="str">
        <f t="shared" si="4"/>
        <v>46+</v>
      </c>
      <c r="D289" s="19" t="s">
        <v>13</v>
      </c>
      <c r="E289" s="19">
        <v>5.3</v>
      </c>
      <c r="F289" s="19">
        <v>6</v>
      </c>
      <c r="G289" s="19">
        <v>6</v>
      </c>
      <c r="H289" s="19">
        <v>3</v>
      </c>
      <c r="I289" s="19">
        <v>4</v>
      </c>
      <c r="J289" s="19" t="s">
        <v>28</v>
      </c>
      <c r="K289" s="19">
        <v>9</v>
      </c>
      <c r="L289" s="20"/>
    </row>
    <row r="290" spans="1:12">
      <c r="A290" s="15" t="s">
        <v>309</v>
      </c>
      <c r="B290" s="16">
        <v>38</v>
      </c>
      <c r="C290" s="16" t="str">
        <f t="shared" si="4"/>
        <v>36-40</v>
      </c>
      <c r="D290" s="16" t="s">
        <v>21</v>
      </c>
      <c r="E290" s="16">
        <v>7</v>
      </c>
      <c r="F290" s="16">
        <v>4</v>
      </c>
      <c r="G290" s="16">
        <v>8</v>
      </c>
      <c r="H290" s="16">
        <v>3</v>
      </c>
      <c r="I290" s="16">
        <v>2</v>
      </c>
      <c r="J290" s="16" t="s">
        <v>28</v>
      </c>
      <c r="K290" s="16">
        <v>6</v>
      </c>
      <c r="L290" s="21"/>
    </row>
    <row r="291" spans="1:12">
      <c r="A291" s="18" t="s">
        <v>310</v>
      </c>
      <c r="B291" s="19">
        <v>37</v>
      </c>
      <c r="C291" s="16" t="str">
        <f t="shared" si="4"/>
        <v>36-40</v>
      </c>
      <c r="D291" s="19" t="s">
        <v>21</v>
      </c>
      <c r="E291" s="19">
        <v>3.3</v>
      </c>
      <c r="F291" s="19">
        <v>7</v>
      </c>
      <c r="G291" s="19">
        <v>5</v>
      </c>
      <c r="H291" s="19">
        <v>6</v>
      </c>
      <c r="I291" s="19">
        <v>4</v>
      </c>
      <c r="J291" s="19" t="s">
        <v>14</v>
      </c>
      <c r="K291" s="19">
        <v>9</v>
      </c>
      <c r="L291" s="20"/>
    </row>
    <row r="292" spans="1:12">
      <c r="A292" s="15" t="s">
        <v>311</v>
      </c>
      <c r="B292" s="16">
        <v>40</v>
      </c>
      <c r="C292" s="16" t="str">
        <f t="shared" si="4"/>
        <v>36-40</v>
      </c>
      <c r="D292" s="16" t="s">
        <v>13</v>
      </c>
      <c r="E292" s="16">
        <v>7.5</v>
      </c>
      <c r="F292" s="16">
        <v>5</v>
      </c>
      <c r="G292" s="16">
        <v>7</v>
      </c>
      <c r="H292" s="16">
        <v>4</v>
      </c>
      <c r="I292" s="16">
        <v>4</v>
      </c>
      <c r="J292" s="16" t="s">
        <v>22</v>
      </c>
      <c r="K292" s="16">
        <v>9</v>
      </c>
      <c r="L292" s="21"/>
    </row>
    <row r="293" spans="1:12">
      <c r="A293" s="18" t="s">
        <v>312</v>
      </c>
      <c r="B293" s="19">
        <v>37</v>
      </c>
      <c r="C293" s="16" t="str">
        <f t="shared" si="4"/>
        <v>36-40</v>
      </c>
      <c r="D293" s="19" t="s">
        <v>13</v>
      </c>
      <c r="E293" s="19">
        <v>4.2</v>
      </c>
      <c r="F293" s="19">
        <v>9</v>
      </c>
      <c r="G293" s="19">
        <v>7</v>
      </c>
      <c r="H293" s="19">
        <v>2</v>
      </c>
      <c r="I293" s="19">
        <v>2</v>
      </c>
      <c r="J293" s="19" t="s">
        <v>17</v>
      </c>
      <c r="K293" s="19">
        <v>8</v>
      </c>
      <c r="L293" s="20"/>
    </row>
    <row r="294" spans="1:12">
      <c r="A294" s="15" t="s">
        <v>313</v>
      </c>
      <c r="B294" s="16">
        <v>37</v>
      </c>
      <c r="C294" s="16" t="str">
        <f t="shared" si="4"/>
        <v>36-40</v>
      </c>
      <c r="D294" s="16" t="s">
        <v>16</v>
      </c>
      <c r="E294" s="16">
        <v>2.7</v>
      </c>
      <c r="F294" s="16">
        <v>8</v>
      </c>
      <c r="G294" s="16">
        <v>5</v>
      </c>
      <c r="H294" s="16">
        <v>3</v>
      </c>
      <c r="I294" s="16">
        <v>3</v>
      </c>
      <c r="J294" s="16" t="s">
        <v>24</v>
      </c>
      <c r="K294" s="16">
        <v>10</v>
      </c>
      <c r="L294" s="21"/>
    </row>
    <row r="295" spans="1:12">
      <c r="A295" s="18" t="s">
        <v>314</v>
      </c>
      <c r="B295" s="19">
        <v>21</v>
      </c>
      <c r="C295" s="16" t="str">
        <f t="shared" si="4"/>
        <v>21–25</v>
      </c>
      <c r="D295" s="19" t="s">
        <v>13</v>
      </c>
      <c r="E295" s="19">
        <v>5</v>
      </c>
      <c r="F295" s="19">
        <v>7</v>
      </c>
      <c r="G295" s="19">
        <v>6</v>
      </c>
      <c r="H295" s="19">
        <v>5</v>
      </c>
      <c r="I295" s="19">
        <v>2</v>
      </c>
      <c r="J295" s="19" t="s">
        <v>24</v>
      </c>
      <c r="K295" s="19">
        <v>10</v>
      </c>
      <c r="L295" s="20"/>
    </row>
    <row r="296" spans="1:12">
      <c r="A296" s="15" t="s">
        <v>315</v>
      </c>
      <c r="B296" s="16">
        <v>30</v>
      </c>
      <c r="C296" s="16" t="str">
        <f t="shared" si="4"/>
        <v>26–30</v>
      </c>
      <c r="D296" s="16" t="s">
        <v>21</v>
      </c>
      <c r="E296" s="16">
        <v>1.7</v>
      </c>
      <c r="F296" s="16">
        <v>9</v>
      </c>
      <c r="G296" s="16">
        <v>4</v>
      </c>
      <c r="H296" s="16">
        <v>3</v>
      </c>
      <c r="I296" s="16">
        <v>6</v>
      </c>
      <c r="J296" s="16" t="s">
        <v>22</v>
      </c>
      <c r="K296" s="16">
        <v>10</v>
      </c>
      <c r="L296" s="21"/>
    </row>
    <row r="297" spans="1:12">
      <c r="A297" s="18" t="s">
        <v>316</v>
      </c>
      <c r="B297" s="19">
        <v>48</v>
      </c>
      <c r="C297" s="16" t="str">
        <f t="shared" si="4"/>
        <v>46+</v>
      </c>
      <c r="D297" s="19" t="s">
        <v>21</v>
      </c>
      <c r="E297" s="19">
        <v>6</v>
      </c>
      <c r="F297" s="19">
        <v>5</v>
      </c>
      <c r="G297" s="19">
        <v>7</v>
      </c>
      <c r="H297" s="19">
        <v>2</v>
      </c>
      <c r="I297" s="19">
        <v>0</v>
      </c>
      <c r="J297" s="19" t="s">
        <v>28</v>
      </c>
      <c r="K297" s="19">
        <v>7</v>
      </c>
      <c r="L297" s="20"/>
    </row>
    <row r="298" spans="1:12">
      <c r="A298" s="15" t="s">
        <v>317</v>
      </c>
      <c r="B298" s="16">
        <v>23</v>
      </c>
      <c r="C298" s="16" t="str">
        <f t="shared" si="4"/>
        <v>21–25</v>
      </c>
      <c r="D298" s="16" t="s">
        <v>21</v>
      </c>
      <c r="E298" s="16">
        <v>5</v>
      </c>
      <c r="F298" s="16">
        <v>5</v>
      </c>
      <c r="G298" s="16">
        <v>7</v>
      </c>
      <c r="H298" s="16">
        <v>2</v>
      </c>
      <c r="I298" s="16">
        <v>4</v>
      </c>
      <c r="J298" s="16" t="s">
        <v>28</v>
      </c>
      <c r="K298" s="16">
        <v>8</v>
      </c>
      <c r="L298" s="21"/>
    </row>
    <row r="299" spans="1:12">
      <c r="A299" s="18" t="s">
        <v>318</v>
      </c>
      <c r="B299" s="19">
        <v>20</v>
      </c>
      <c r="C299" s="16" t="str">
        <f t="shared" si="4"/>
        <v>16–20</v>
      </c>
      <c r="D299" s="19" t="s">
        <v>13</v>
      </c>
      <c r="E299" s="19">
        <v>7.7</v>
      </c>
      <c r="F299" s="19">
        <v>4</v>
      </c>
      <c r="G299" s="19">
        <v>8</v>
      </c>
      <c r="H299" s="19">
        <v>5</v>
      </c>
      <c r="I299" s="19">
        <v>0</v>
      </c>
      <c r="J299" s="19" t="s">
        <v>19</v>
      </c>
      <c r="K299" s="19">
        <v>5</v>
      </c>
      <c r="L299" s="20"/>
    </row>
    <row r="300" spans="1:12">
      <c r="A300" s="15" t="s">
        <v>319</v>
      </c>
      <c r="B300" s="16">
        <v>19</v>
      </c>
      <c r="C300" s="16" t="str">
        <f t="shared" si="4"/>
        <v>16–20</v>
      </c>
      <c r="D300" s="16" t="s">
        <v>21</v>
      </c>
      <c r="E300" s="16">
        <v>6.7</v>
      </c>
      <c r="F300" s="16">
        <v>6</v>
      </c>
      <c r="G300" s="16">
        <v>5</v>
      </c>
      <c r="H300" s="16">
        <v>4</v>
      </c>
      <c r="I300" s="16">
        <v>2</v>
      </c>
      <c r="J300" s="16" t="s">
        <v>14</v>
      </c>
      <c r="K300" s="16">
        <v>9</v>
      </c>
      <c r="L300" s="21"/>
    </row>
    <row r="301" spans="1:12">
      <c r="A301" s="18" t="s">
        <v>320</v>
      </c>
      <c r="B301" s="19">
        <v>21</v>
      </c>
      <c r="C301" s="16" t="str">
        <f t="shared" si="4"/>
        <v>21–25</v>
      </c>
      <c r="D301" s="19" t="s">
        <v>21</v>
      </c>
      <c r="E301" s="19">
        <v>3</v>
      </c>
      <c r="F301" s="19">
        <v>8</v>
      </c>
      <c r="G301" s="19">
        <v>5</v>
      </c>
      <c r="H301" s="19">
        <v>3</v>
      </c>
      <c r="I301" s="19">
        <v>2</v>
      </c>
      <c r="J301" s="19" t="s">
        <v>17</v>
      </c>
      <c r="K301" s="19">
        <v>10</v>
      </c>
      <c r="L301" s="20"/>
    </row>
    <row r="302" spans="1:12">
      <c r="A302" s="15" t="s">
        <v>321</v>
      </c>
      <c r="B302" s="16">
        <v>47</v>
      </c>
      <c r="C302" s="16" t="str">
        <f t="shared" si="4"/>
        <v>46+</v>
      </c>
      <c r="D302" s="16" t="s">
        <v>21</v>
      </c>
      <c r="E302" s="16">
        <v>4</v>
      </c>
      <c r="F302" s="16">
        <v>8</v>
      </c>
      <c r="G302" s="16">
        <v>4</v>
      </c>
      <c r="H302" s="16">
        <v>3</v>
      </c>
      <c r="I302" s="16">
        <v>5</v>
      </c>
      <c r="J302" s="16" t="s">
        <v>14</v>
      </c>
      <c r="K302" s="16">
        <v>10</v>
      </c>
      <c r="L302" s="21"/>
    </row>
    <row r="303" spans="1:12">
      <c r="A303" s="18" t="s">
        <v>322</v>
      </c>
      <c r="B303" s="19">
        <v>45</v>
      </c>
      <c r="C303" s="16" t="str">
        <f t="shared" si="4"/>
        <v>41-45</v>
      </c>
      <c r="D303" s="19" t="s">
        <v>21</v>
      </c>
      <c r="E303" s="19">
        <v>6.4</v>
      </c>
      <c r="F303" s="19">
        <v>6</v>
      </c>
      <c r="G303" s="19">
        <v>7</v>
      </c>
      <c r="H303" s="19">
        <v>2</v>
      </c>
      <c r="I303" s="19">
        <v>1</v>
      </c>
      <c r="J303" s="19" t="s">
        <v>14</v>
      </c>
      <c r="K303" s="19">
        <v>7</v>
      </c>
      <c r="L303" s="20"/>
    </row>
    <row r="304" spans="1:12">
      <c r="A304" s="15" t="s">
        <v>323</v>
      </c>
      <c r="B304" s="16">
        <v>31</v>
      </c>
      <c r="C304" s="16" t="str">
        <f t="shared" si="4"/>
        <v>31-35</v>
      </c>
      <c r="D304" s="16" t="s">
        <v>21</v>
      </c>
      <c r="E304" s="16">
        <v>7</v>
      </c>
      <c r="F304" s="16">
        <v>5</v>
      </c>
      <c r="G304" s="16">
        <v>6</v>
      </c>
      <c r="H304" s="16">
        <v>3</v>
      </c>
      <c r="I304" s="16">
        <v>4</v>
      </c>
      <c r="J304" s="16" t="s">
        <v>19</v>
      </c>
      <c r="K304" s="16">
        <v>8</v>
      </c>
      <c r="L304" s="21"/>
    </row>
    <row r="305" spans="1:12">
      <c r="A305" s="18" t="s">
        <v>324</v>
      </c>
      <c r="B305" s="19">
        <v>28</v>
      </c>
      <c r="C305" s="16" t="str">
        <f t="shared" si="4"/>
        <v>26–30</v>
      </c>
      <c r="D305" s="19" t="s">
        <v>21</v>
      </c>
      <c r="E305" s="19">
        <v>7.7</v>
      </c>
      <c r="F305" s="19">
        <v>4</v>
      </c>
      <c r="G305" s="19">
        <v>7</v>
      </c>
      <c r="H305" s="19">
        <v>2</v>
      </c>
      <c r="I305" s="19">
        <v>1</v>
      </c>
      <c r="J305" s="19" t="s">
        <v>14</v>
      </c>
      <c r="K305" s="19">
        <v>7</v>
      </c>
      <c r="L305" s="20"/>
    </row>
    <row r="306" spans="1:12">
      <c r="A306" s="15" t="s">
        <v>325</v>
      </c>
      <c r="B306" s="16">
        <v>45</v>
      </c>
      <c r="C306" s="16" t="str">
        <f t="shared" si="4"/>
        <v>41-45</v>
      </c>
      <c r="D306" s="16" t="s">
        <v>13</v>
      </c>
      <c r="E306" s="16">
        <v>7.7</v>
      </c>
      <c r="F306" s="16">
        <v>6</v>
      </c>
      <c r="G306" s="16">
        <v>9</v>
      </c>
      <c r="H306" s="16">
        <v>2</v>
      </c>
      <c r="I306" s="16">
        <v>5</v>
      </c>
      <c r="J306" s="16" t="s">
        <v>22</v>
      </c>
      <c r="K306" s="16">
        <v>6</v>
      </c>
      <c r="L306" s="21"/>
    </row>
    <row r="307" spans="1:12">
      <c r="A307" s="18" t="s">
        <v>326</v>
      </c>
      <c r="B307" s="19">
        <v>34</v>
      </c>
      <c r="C307" s="16" t="str">
        <f t="shared" si="4"/>
        <v>31-35</v>
      </c>
      <c r="D307" s="19" t="s">
        <v>21</v>
      </c>
      <c r="E307" s="19">
        <v>5.3</v>
      </c>
      <c r="F307" s="19">
        <v>6</v>
      </c>
      <c r="G307" s="19">
        <v>6</v>
      </c>
      <c r="H307" s="19">
        <v>6</v>
      </c>
      <c r="I307" s="19">
        <v>2</v>
      </c>
      <c r="J307" s="19" t="s">
        <v>19</v>
      </c>
      <c r="K307" s="19">
        <v>10</v>
      </c>
      <c r="L307" s="20"/>
    </row>
    <row r="308" spans="1:12">
      <c r="A308" s="15" t="s">
        <v>327</v>
      </c>
      <c r="B308" s="16">
        <v>32</v>
      </c>
      <c r="C308" s="16" t="str">
        <f t="shared" si="4"/>
        <v>31-35</v>
      </c>
      <c r="D308" s="16" t="s">
        <v>21</v>
      </c>
      <c r="E308" s="16">
        <v>6.2</v>
      </c>
      <c r="F308" s="16">
        <v>5</v>
      </c>
      <c r="G308" s="16">
        <v>7</v>
      </c>
      <c r="H308" s="16">
        <v>1</v>
      </c>
      <c r="I308" s="16">
        <v>3</v>
      </c>
      <c r="J308" s="16" t="s">
        <v>22</v>
      </c>
      <c r="K308" s="16">
        <v>7</v>
      </c>
      <c r="L308" s="21"/>
    </row>
    <row r="309" spans="1:12">
      <c r="A309" s="18" t="s">
        <v>328</v>
      </c>
      <c r="B309" s="19">
        <v>34</v>
      </c>
      <c r="C309" s="16" t="str">
        <f t="shared" si="4"/>
        <v>31-35</v>
      </c>
      <c r="D309" s="19" t="s">
        <v>13</v>
      </c>
      <c r="E309" s="19">
        <v>7.8</v>
      </c>
      <c r="F309" s="19">
        <v>5</v>
      </c>
      <c r="G309" s="19">
        <v>9</v>
      </c>
      <c r="H309" s="19">
        <v>2</v>
      </c>
      <c r="I309" s="19">
        <v>2</v>
      </c>
      <c r="J309" s="19" t="s">
        <v>19</v>
      </c>
      <c r="K309" s="19">
        <v>6</v>
      </c>
      <c r="L309" s="20"/>
    </row>
    <row r="310" spans="1:12">
      <c r="A310" s="15" t="s">
        <v>329</v>
      </c>
      <c r="B310" s="16">
        <v>43</v>
      </c>
      <c r="C310" s="16" t="str">
        <f t="shared" si="4"/>
        <v>41-45</v>
      </c>
      <c r="D310" s="16" t="s">
        <v>21</v>
      </c>
      <c r="E310" s="16">
        <v>5</v>
      </c>
      <c r="F310" s="16">
        <v>5</v>
      </c>
      <c r="G310" s="16">
        <v>6</v>
      </c>
      <c r="H310" s="16">
        <v>0</v>
      </c>
      <c r="I310" s="16">
        <v>4</v>
      </c>
      <c r="J310" s="16" t="s">
        <v>14</v>
      </c>
      <c r="K310" s="16">
        <v>8</v>
      </c>
      <c r="L310" s="21"/>
    </row>
    <row r="311" spans="1:12">
      <c r="A311" s="18" t="s">
        <v>330</v>
      </c>
      <c r="B311" s="19">
        <v>41</v>
      </c>
      <c r="C311" s="16" t="str">
        <f t="shared" si="4"/>
        <v>41-45</v>
      </c>
      <c r="D311" s="19" t="s">
        <v>21</v>
      </c>
      <c r="E311" s="19">
        <v>6.2</v>
      </c>
      <c r="F311" s="19">
        <v>8</v>
      </c>
      <c r="G311" s="19">
        <v>9</v>
      </c>
      <c r="H311" s="19">
        <v>0</v>
      </c>
      <c r="I311" s="19">
        <v>4</v>
      </c>
      <c r="J311" s="19" t="s">
        <v>22</v>
      </c>
      <c r="K311" s="19">
        <v>7</v>
      </c>
      <c r="L311" s="20"/>
    </row>
    <row r="312" spans="1:12">
      <c r="A312" s="15" t="s">
        <v>331</v>
      </c>
      <c r="B312" s="16">
        <v>41</v>
      </c>
      <c r="C312" s="16" t="str">
        <f t="shared" si="4"/>
        <v>41-45</v>
      </c>
      <c r="D312" s="16" t="s">
        <v>21</v>
      </c>
      <c r="E312" s="16">
        <v>4.9000000000000004</v>
      </c>
      <c r="F312" s="16">
        <v>7</v>
      </c>
      <c r="G312" s="16">
        <v>6</v>
      </c>
      <c r="H312" s="16">
        <v>3</v>
      </c>
      <c r="I312" s="16">
        <v>3</v>
      </c>
      <c r="J312" s="16" t="s">
        <v>22</v>
      </c>
      <c r="K312" s="16">
        <v>9</v>
      </c>
      <c r="L312" s="21"/>
    </row>
    <row r="313" spans="1:12">
      <c r="A313" s="18" t="s">
        <v>332</v>
      </c>
      <c r="B313" s="19">
        <v>38</v>
      </c>
      <c r="C313" s="16" t="str">
        <f t="shared" si="4"/>
        <v>36-40</v>
      </c>
      <c r="D313" s="19" t="s">
        <v>13</v>
      </c>
      <c r="E313" s="19">
        <v>4.5</v>
      </c>
      <c r="F313" s="19">
        <v>7</v>
      </c>
      <c r="G313" s="19">
        <v>6</v>
      </c>
      <c r="H313" s="19">
        <v>2</v>
      </c>
      <c r="I313" s="19">
        <v>1</v>
      </c>
      <c r="J313" s="19" t="s">
        <v>22</v>
      </c>
      <c r="K313" s="19">
        <v>9</v>
      </c>
      <c r="L313" s="20"/>
    </row>
    <row r="314" spans="1:12">
      <c r="A314" s="15" t="s">
        <v>333</v>
      </c>
      <c r="B314" s="16">
        <v>24</v>
      </c>
      <c r="C314" s="16" t="str">
        <f t="shared" si="4"/>
        <v>21–25</v>
      </c>
      <c r="D314" s="16" t="s">
        <v>13</v>
      </c>
      <c r="E314" s="16">
        <v>5.6</v>
      </c>
      <c r="F314" s="16">
        <v>5</v>
      </c>
      <c r="G314" s="16">
        <v>8</v>
      </c>
      <c r="H314" s="16">
        <v>7</v>
      </c>
      <c r="I314" s="16">
        <v>1</v>
      </c>
      <c r="J314" s="16" t="s">
        <v>19</v>
      </c>
      <c r="K314" s="16">
        <v>7</v>
      </c>
      <c r="L314" s="21"/>
    </row>
    <row r="315" spans="1:12">
      <c r="A315" s="18" t="s">
        <v>334</v>
      </c>
      <c r="B315" s="19">
        <v>27</v>
      </c>
      <c r="C315" s="16" t="str">
        <f t="shared" si="4"/>
        <v>26–30</v>
      </c>
      <c r="D315" s="19" t="s">
        <v>16</v>
      </c>
      <c r="E315" s="19">
        <v>4.3</v>
      </c>
      <c r="F315" s="19">
        <v>7</v>
      </c>
      <c r="G315" s="19">
        <v>7</v>
      </c>
      <c r="H315" s="19">
        <v>2</v>
      </c>
      <c r="I315" s="19">
        <v>1</v>
      </c>
      <c r="J315" s="19" t="s">
        <v>24</v>
      </c>
      <c r="K315" s="19">
        <v>8</v>
      </c>
      <c r="L315" s="20"/>
    </row>
    <row r="316" spans="1:12">
      <c r="A316" s="15" t="s">
        <v>335</v>
      </c>
      <c r="B316" s="16">
        <v>16</v>
      </c>
      <c r="C316" s="16" t="str">
        <f t="shared" si="4"/>
        <v>16–20</v>
      </c>
      <c r="D316" s="16" t="s">
        <v>21</v>
      </c>
      <c r="E316" s="16">
        <v>5.3</v>
      </c>
      <c r="F316" s="16">
        <v>6</v>
      </c>
      <c r="G316" s="16">
        <v>6</v>
      </c>
      <c r="H316" s="16">
        <v>6</v>
      </c>
      <c r="I316" s="16">
        <v>0</v>
      </c>
      <c r="J316" s="16" t="s">
        <v>14</v>
      </c>
      <c r="K316" s="16">
        <v>9</v>
      </c>
      <c r="L316" s="21"/>
    </row>
    <row r="317" spans="1:12">
      <c r="A317" s="18" t="s">
        <v>336</v>
      </c>
      <c r="B317" s="19">
        <v>16</v>
      </c>
      <c r="C317" s="16" t="str">
        <f t="shared" si="4"/>
        <v>16–20</v>
      </c>
      <c r="D317" s="19" t="s">
        <v>13</v>
      </c>
      <c r="E317" s="19">
        <v>3.6</v>
      </c>
      <c r="F317" s="19">
        <v>7</v>
      </c>
      <c r="G317" s="19">
        <v>5</v>
      </c>
      <c r="H317" s="19">
        <v>5</v>
      </c>
      <c r="I317" s="19">
        <v>4</v>
      </c>
      <c r="J317" s="19" t="s">
        <v>22</v>
      </c>
      <c r="K317" s="19">
        <v>10</v>
      </c>
      <c r="L317" s="20"/>
    </row>
    <row r="318" spans="1:12">
      <c r="A318" s="15" t="s">
        <v>337</v>
      </c>
      <c r="B318" s="16">
        <v>49</v>
      </c>
      <c r="C318" s="16" t="str">
        <f t="shared" si="4"/>
        <v>46+</v>
      </c>
      <c r="D318" s="16" t="s">
        <v>21</v>
      </c>
      <c r="E318" s="16">
        <v>5.2</v>
      </c>
      <c r="F318" s="16">
        <v>7</v>
      </c>
      <c r="G318" s="16">
        <v>8</v>
      </c>
      <c r="H318" s="16">
        <v>3</v>
      </c>
      <c r="I318" s="16">
        <v>2</v>
      </c>
      <c r="J318" s="16" t="s">
        <v>17</v>
      </c>
      <c r="K318" s="16">
        <v>8</v>
      </c>
      <c r="L318" s="21"/>
    </row>
    <row r="319" spans="1:12">
      <c r="A319" s="18" t="s">
        <v>338</v>
      </c>
      <c r="B319" s="19">
        <v>47</v>
      </c>
      <c r="C319" s="16" t="str">
        <f t="shared" si="4"/>
        <v>46+</v>
      </c>
      <c r="D319" s="19" t="s">
        <v>21</v>
      </c>
      <c r="E319" s="19">
        <v>6.3</v>
      </c>
      <c r="F319" s="19">
        <v>5</v>
      </c>
      <c r="G319" s="19">
        <v>8</v>
      </c>
      <c r="H319" s="19">
        <v>7</v>
      </c>
      <c r="I319" s="19">
        <v>2</v>
      </c>
      <c r="J319" s="19" t="s">
        <v>24</v>
      </c>
      <c r="K319" s="19">
        <v>8</v>
      </c>
      <c r="L319" s="20"/>
    </row>
    <row r="320" spans="1:12">
      <c r="A320" s="15" t="s">
        <v>339</v>
      </c>
      <c r="B320" s="16">
        <v>40</v>
      </c>
      <c r="C320" s="16" t="str">
        <f t="shared" si="4"/>
        <v>36-40</v>
      </c>
      <c r="D320" s="16" t="s">
        <v>21</v>
      </c>
      <c r="E320" s="16">
        <v>4.4000000000000004</v>
      </c>
      <c r="F320" s="16">
        <v>8</v>
      </c>
      <c r="G320" s="16">
        <v>7</v>
      </c>
      <c r="H320" s="16">
        <v>4</v>
      </c>
      <c r="I320" s="16">
        <v>5</v>
      </c>
      <c r="J320" s="16" t="s">
        <v>17</v>
      </c>
      <c r="K320" s="16">
        <v>8</v>
      </c>
      <c r="L320" s="21"/>
    </row>
    <row r="321" spans="1:12">
      <c r="A321" s="18" t="s">
        <v>340</v>
      </c>
      <c r="B321" s="19">
        <v>16</v>
      </c>
      <c r="C321" s="16" t="str">
        <f t="shared" si="4"/>
        <v>16–20</v>
      </c>
      <c r="D321" s="19" t="s">
        <v>21</v>
      </c>
      <c r="E321" s="19">
        <v>5.5</v>
      </c>
      <c r="F321" s="19">
        <v>9</v>
      </c>
      <c r="G321" s="19">
        <v>5</v>
      </c>
      <c r="H321" s="19">
        <v>6</v>
      </c>
      <c r="I321" s="19">
        <v>2</v>
      </c>
      <c r="J321" s="19" t="s">
        <v>14</v>
      </c>
      <c r="K321" s="19">
        <v>10</v>
      </c>
      <c r="L321" s="20"/>
    </row>
    <row r="322" spans="1:12">
      <c r="A322" s="15" t="s">
        <v>341</v>
      </c>
      <c r="B322" s="16">
        <v>31</v>
      </c>
      <c r="C322" s="16" t="str">
        <f t="shared" si="4"/>
        <v>31-35</v>
      </c>
      <c r="D322" s="16" t="s">
        <v>13</v>
      </c>
      <c r="E322" s="16">
        <v>5.8</v>
      </c>
      <c r="F322" s="16">
        <v>6</v>
      </c>
      <c r="G322" s="16">
        <v>8</v>
      </c>
      <c r="H322" s="16">
        <v>6</v>
      </c>
      <c r="I322" s="16">
        <v>1</v>
      </c>
      <c r="J322" s="16" t="s">
        <v>14</v>
      </c>
      <c r="K322" s="16">
        <v>7</v>
      </c>
      <c r="L322" s="21"/>
    </row>
    <row r="323" spans="1:12">
      <c r="A323" s="18" t="s">
        <v>342</v>
      </c>
      <c r="B323" s="19">
        <v>20</v>
      </c>
      <c r="C323" s="16" t="str">
        <f t="shared" ref="C323:C386" si="5">IF(B323&lt;=20,"16–20",IF(B323&lt;=25,"21–25",IF(B323&lt;=30,"26–30",IF(B323&lt;=35,"31-35",IF(B323&lt;=40,"36-40",IF(B323&lt;=45,"41-45","46+"))))))</f>
        <v>16–20</v>
      </c>
      <c r="D323" s="19" t="s">
        <v>13</v>
      </c>
      <c r="E323" s="19">
        <v>6.3</v>
      </c>
      <c r="F323" s="19">
        <v>6</v>
      </c>
      <c r="G323" s="19">
        <v>6</v>
      </c>
      <c r="H323" s="19">
        <v>4</v>
      </c>
      <c r="I323" s="19">
        <v>2</v>
      </c>
      <c r="J323" s="19" t="s">
        <v>22</v>
      </c>
      <c r="K323" s="19">
        <v>8</v>
      </c>
      <c r="L323" s="20"/>
    </row>
    <row r="324" spans="1:12">
      <c r="A324" s="15" t="s">
        <v>343</v>
      </c>
      <c r="B324" s="16">
        <v>37</v>
      </c>
      <c r="C324" s="16" t="str">
        <f t="shared" si="5"/>
        <v>36-40</v>
      </c>
      <c r="D324" s="16" t="s">
        <v>13</v>
      </c>
      <c r="E324" s="16">
        <v>5.3</v>
      </c>
      <c r="F324" s="16">
        <v>7</v>
      </c>
      <c r="G324" s="16">
        <v>7</v>
      </c>
      <c r="H324" s="16">
        <v>5</v>
      </c>
      <c r="I324" s="16">
        <v>1</v>
      </c>
      <c r="J324" s="16" t="s">
        <v>22</v>
      </c>
      <c r="K324" s="16">
        <v>8</v>
      </c>
      <c r="L324" s="21"/>
    </row>
    <row r="325" spans="1:12">
      <c r="A325" s="18" t="s">
        <v>344</v>
      </c>
      <c r="B325" s="19">
        <v>44</v>
      </c>
      <c r="C325" s="16" t="str">
        <f t="shared" si="5"/>
        <v>41-45</v>
      </c>
      <c r="D325" s="19" t="s">
        <v>21</v>
      </c>
      <c r="E325" s="19">
        <v>7.5</v>
      </c>
      <c r="F325" s="19">
        <v>7</v>
      </c>
      <c r="G325" s="19">
        <v>8</v>
      </c>
      <c r="H325" s="19">
        <v>4</v>
      </c>
      <c r="I325" s="19">
        <v>3</v>
      </c>
      <c r="J325" s="19" t="s">
        <v>19</v>
      </c>
      <c r="K325" s="19">
        <v>9</v>
      </c>
      <c r="L325" s="20"/>
    </row>
    <row r="326" spans="1:12">
      <c r="A326" s="15" t="s">
        <v>345</v>
      </c>
      <c r="B326" s="16">
        <v>18</v>
      </c>
      <c r="C326" s="16" t="str">
        <f t="shared" si="5"/>
        <v>16–20</v>
      </c>
      <c r="D326" s="16" t="s">
        <v>13</v>
      </c>
      <c r="E326" s="16">
        <v>1.7</v>
      </c>
      <c r="F326" s="16">
        <v>9</v>
      </c>
      <c r="G326" s="16">
        <v>3</v>
      </c>
      <c r="H326" s="16">
        <v>1</v>
      </c>
      <c r="I326" s="16">
        <v>2</v>
      </c>
      <c r="J326" s="16" t="s">
        <v>24</v>
      </c>
      <c r="K326" s="16">
        <v>10</v>
      </c>
      <c r="L326" s="21"/>
    </row>
    <row r="327" spans="1:12">
      <c r="A327" s="18" t="s">
        <v>346</v>
      </c>
      <c r="B327" s="19">
        <v>27</v>
      </c>
      <c r="C327" s="16" t="str">
        <f t="shared" si="5"/>
        <v>26–30</v>
      </c>
      <c r="D327" s="19" t="s">
        <v>13</v>
      </c>
      <c r="E327" s="19">
        <v>10.8</v>
      </c>
      <c r="F327" s="19">
        <v>2</v>
      </c>
      <c r="G327" s="19">
        <v>9</v>
      </c>
      <c r="H327" s="19">
        <v>3</v>
      </c>
      <c r="I327" s="19">
        <v>2</v>
      </c>
      <c r="J327" s="19" t="s">
        <v>24</v>
      </c>
      <c r="K327" s="19">
        <v>5</v>
      </c>
      <c r="L327" s="20"/>
    </row>
    <row r="328" spans="1:12">
      <c r="A328" s="15" t="s">
        <v>347</v>
      </c>
      <c r="B328" s="16">
        <v>41</v>
      </c>
      <c r="C328" s="16" t="str">
        <f t="shared" si="5"/>
        <v>41-45</v>
      </c>
      <c r="D328" s="16" t="s">
        <v>13</v>
      </c>
      <c r="E328" s="16">
        <v>3.9</v>
      </c>
      <c r="F328" s="16">
        <v>6</v>
      </c>
      <c r="G328" s="16">
        <v>4</v>
      </c>
      <c r="H328" s="16">
        <v>5</v>
      </c>
      <c r="I328" s="16">
        <v>2</v>
      </c>
      <c r="J328" s="16" t="s">
        <v>22</v>
      </c>
      <c r="K328" s="16">
        <v>9</v>
      </c>
      <c r="L328" s="21"/>
    </row>
    <row r="329" spans="1:12">
      <c r="A329" s="18" t="s">
        <v>348</v>
      </c>
      <c r="B329" s="19">
        <v>31</v>
      </c>
      <c r="C329" s="16" t="str">
        <f t="shared" si="5"/>
        <v>31-35</v>
      </c>
      <c r="D329" s="19" t="s">
        <v>21</v>
      </c>
      <c r="E329" s="19">
        <v>6.2</v>
      </c>
      <c r="F329" s="19">
        <v>6</v>
      </c>
      <c r="G329" s="19">
        <v>7</v>
      </c>
      <c r="H329" s="19">
        <v>6</v>
      </c>
      <c r="I329" s="19">
        <v>2</v>
      </c>
      <c r="J329" s="19" t="s">
        <v>14</v>
      </c>
      <c r="K329" s="19">
        <v>8</v>
      </c>
      <c r="L329" s="20"/>
    </row>
    <row r="330" spans="1:12">
      <c r="A330" s="15" t="s">
        <v>349</v>
      </c>
      <c r="B330" s="16">
        <v>37</v>
      </c>
      <c r="C330" s="16" t="str">
        <f t="shared" si="5"/>
        <v>36-40</v>
      </c>
      <c r="D330" s="16" t="s">
        <v>21</v>
      </c>
      <c r="E330" s="16">
        <v>3.8</v>
      </c>
      <c r="F330" s="16">
        <v>7</v>
      </c>
      <c r="G330" s="16">
        <v>4</v>
      </c>
      <c r="H330" s="16">
        <v>2</v>
      </c>
      <c r="I330" s="16">
        <v>3</v>
      </c>
      <c r="J330" s="16" t="s">
        <v>22</v>
      </c>
      <c r="K330" s="16">
        <v>10</v>
      </c>
      <c r="L330" s="21"/>
    </row>
    <row r="331" spans="1:12">
      <c r="A331" s="18" t="s">
        <v>350</v>
      </c>
      <c r="B331" s="19">
        <v>44</v>
      </c>
      <c r="C331" s="16" t="str">
        <f t="shared" si="5"/>
        <v>41-45</v>
      </c>
      <c r="D331" s="19" t="s">
        <v>13</v>
      </c>
      <c r="E331" s="19">
        <v>6.7</v>
      </c>
      <c r="F331" s="19">
        <v>8</v>
      </c>
      <c r="G331" s="19">
        <v>6</v>
      </c>
      <c r="H331" s="19">
        <v>4</v>
      </c>
      <c r="I331" s="19">
        <v>2</v>
      </c>
      <c r="J331" s="19" t="s">
        <v>14</v>
      </c>
      <c r="K331" s="19">
        <v>10</v>
      </c>
      <c r="L331" s="20"/>
    </row>
    <row r="332" spans="1:12">
      <c r="A332" s="15" t="s">
        <v>351</v>
      </c>
      <c r="B332" s="16">
        <v>29</v>
      </c>
      <c r="C332" s="16" t="str">
        <f t="shared" si="5"/>
        <v>26–30</v>
      </c>
      <c r="D332" s="16" t="s">
        <v>13</v>
      </c>
      <c r="E332" s="16">
        <v>6</v>
      </c>
      <c r="F332" s="16">
        <v>8</v>
      </c>
      <c r="G332" s="16">
        <v>7</v>
      </c>
      <c r="H332" s="16">
        <v>3</v>
      </c>
      <c r="I332" s="16">
        <v>2</v>
      </c>
      <c r="J332" s="16" t="s">
        <v>14</v>
      </c>
      <c r="K332" s="16">
        <v>7</v>
      </c>
      <c r="L332" s="21"/>
    </row>
    <row r="333" spans="1:12">
      <c r="A333" s="18" t="s">
        <v>352</v>
      </c>
      <c r="B333" s="19">
        <v>43</v>
      </c>
      <c r="C333" s="16" t="str">
        <f t="shared" si="5"/>
        <v>41-45</v>
      </c>
      <c r="D333" s="19" t="s">
        <v>21</v>
      </c>
      <c r="E333" s="19">
        <v>4.3</v>
      </c>
      <c r="F333" s="19">
        <v>6</v>
      </c>
      <c r="G333" s="19">
        <v>3</v>
      </c>
      <c r="H333" s="19">
        <v>3</v>
      </c>
      <c r="I333" s="19">
        <v>2</v>
      </c>
      <c r="J333" s="19" t="s">
        <v>22</v>
      </c>
      <c r="K333" s="19">
        <v>10</v>
      </c>
      <c r="L333" s="20"/>
    </row>
    <row r="334" spans="1:12">
      <c r="A334" s="15" t="s">
        <v>353</v>
      </c>
      <c r="B334" s="16">
        <v>20</v>
      </c>
      <c r="C334" s="16" t="str">
        <f t="shared" si="5"/>
        <v>16–20</v>
      </c>
      <c r="D334" s="16" t="s">
        <v>13</v>
      </c>
      <c r="E334" s="16">
        <v>7.4</v>
      </c>
      <c r="F334" s="16">
        <v>4</v>
      </c>
      <c r="G334" s="16">
        <v>9</v>
      </c>
      <c r="H334" s="16">
        <v>4</v>
      </c>
      <c r="I334" s="16">
        <v>2</v>
      </c>
      <c r="J334" s="16" t="s">
        <v>28</v>
      </c>
      <c r="K334" s="16">
        <v>6</v>
      </c>
      <c r="L334" s="21"/>
    </row>
    <row r="335" spans="1:12">
      <c r="A335" s="18" t="s">
        <v>354</v>
      </c>
      <c r="B335" s="19">
        <v>45</v>
      </c>
      <c r="C335" s="16" t="str">
        <f t="shared" si="5"/>
        <v>41-45</v>
      </c>
      <c r="D335" s="19" t="s">
        <v>13</v>
      </c>
      <c r="E335" s="19">
        <v>5.2</v>
      </c>
      <c r="F335" s="19">
        <v>7</v>
      </c>
      <c r="G335" s="19">
        <v>4</v>
      </c>
      <c r="H335" s="19">
        <v>3</v>
      </c>
      <c r="I335" s="19">
        <v>3</v>
      </c>
      <c r="J335" s="19" t="s">
        <v>24</v>
      </c>
      <c r="K335" s="19">
        <v>10</v>
      </c>
      <c r="L335" s="20"/>
    </row>
    <row r="336" spans="1:12">
      <c r="A336" s="15" t="s">
        <v>355</v>
      </c>
      <c r="B336" s="16">
        <v>20</v>
      </c>
      <c r="C336" s="16" t="str">
        <f t="shared" si="5"/>
        <v>16–20</v>
      </c>
      <c r="D336" s="16" t="s">
        <v>13</v>
      </c>
      <c r="E336" s="16">
        <v>6.5</v>
      </c>
      <c r="F336" s="16">
        <v>7</v>
      </c>
      <c r="G336" s="16">
        <v>7</v>
      </c>
      <c r="H336" s="16">
        <v>4</v>
      </c>
      <c r="I336" s="16">
        <v>1</v>
      </c>
      <c r="J336" s="16" t="s">
        <v>17</v>
      </c>
      <c r="K336" s="16">
        <v>7</v>
      </c>
      <c r="L336" s="21"/>
    </row>
    <row r="337" spans="1:12">
      <c r="A337" s="18" t="s">
        <v>356</v>
      </c>
      <c r="B337" s="19">
        <v>27</v>
      </c>
      <c r="C337" s="16" t="str">
        <f t="shared" si="5"/>
        <v>26–30</v>
      </c>
      <c r="D337" s="19" t="s">
        <v>13</v>
      </c>
      <c r="E337" s="19">
        <v>3.8</v>
      </c>
      <c r="F337" s="19">
        <v>8</v>
      </c>
      <c r="G337" s="19">
        <v>6</v>
      </c>
      <c r="H337" s="19">
        <v>6</v>
      </c>
      <c r="I337" s="19">
        <v>4</v>
      </c>
      <c r="J337" s="19" t="s">
        <v>14</v>
      </c>
      <c r="K337" s="19">
        <v>10</v>
      </c>
      <c r="L337" s="20"/>
    </row>
    <row r="338" spans="1:12">
      <c r="A338" s="15" t="s">
        <v>357</v>
      </c>
      <c r="B338" s="16">
        <v>31</v>
      </c>
      <c r="C338" s="16" t="str">
        <f t="shared" si="5"/>
        <v>31-35</v>
      </c>
      <c r="D338" s="16" t="s">
        <v>13</v>
      </c>
      <c r="E338" s="16">
        <v>5.4</v>
      </c>
      <c r="F338" s="16">
        <v>6</v>
      </c>
      <c r="G338" s="16">
        <v>7</v>
      </c>
      <c r="H338" s="16">
        <v>5</v>
      </c>
      <c r="I338" s="16">
        <v>3</v>
      </c>
      <c r="J338" s="16" t="s">
        <v>14</v>
      </c>
      <c r="K338" s="16">
        <v>8</v>
      </c>
      <c r="L338" s="21"/>
    </row>
    <row r="339" spans="1:12">
      <c r="A339" s="18" t="s">
        <v>358</v>
      </c>
      <c r="B339" s="19">
        <v>41</v>
      </c>
      <c r="C339" s="16" t="str">
        <f t="shared" si="5"/>
        <v>41-45</v>
      </c>
      <c r="D339" s="19" t="s">
        <v>21</v>
      </c>
      <c r="E339" s="19">
        <v>9.1</v>
      </c>
      <c r="F339" s="19">
        <v>4</v>
      </c>
      <c r="G339" s="19">
        <v>9</v>
      </c>
      <c r="H339" s="19">
        <v>4</v>
      </c>
      <c r="I339" s="19">
        <v>2</v>
      </c>
      <c r="J339" s="19" t="s">
        <v>28</v>
      </c>
      <c r="K339" s="19">
        <v>7</v>
      </c>
      <c r="L339" s="20"/>
    </row>
    <row r="340" spans="1:12">
      <c r="A340" s="15" t="s">
        <v>359</v>
      </c>
      <c r="B340" s="16">
        <v>41</v>
      </c>
      <c r="C340" s="16" t="str">
        <f t="shared" si="5"/>
        <v>41-45</v>
      </c>
      <c r="D340" s="16" t="s">
        <v>13</v>
      </c>
      <c r="E340" s="16">
        <v>7.2</v>
      </c>
      <c r="F340" s="16">
        <v>5</v>
      </c>
      <c r="G340" s="16">
        <v>10</v>
      </c>
      <c r="H340" s="16">
        <v>7</v>
      </c>
      <c r="I340" s="16">
        <v>3</v>
      </c>
      <c r="J340" s="16" t="s">
        <v>17</v>
      </c>
      <c r="K340" s="16">
        <v>7</v>
      </c>
      <c r="L340" s="21"/>
    </row>
    <row r="341" spans="1:12">
      <c r="A341" s="18" t="s">
        <v>360</v>
      </c>
      <c r="B341" s="19">
        <v>36</v>
      </c>
      <c r="C341" s="16" t="str">
        <f t="shared" si="5"/>
        <v>36-40</v>
      </c>
      <c r="D341" s="19" t="s">
        <v>21</v>
      </c>
      <c r="E341" s="19">
        <v>6.1</v>
      </c>
      <c r="F341" s="19">
        <v>7</v>
      </c>
      <c r="G341" s="19">
        <v>7</v>
      </c>
      <c r="H341" s="19">
        <v>5</v>
      </c>
      <c r="I341" s="19">
        <v>2</v>
      </c>
      <c r="J341" s="19" t="s">
        <v>19</v>
      </c>
      <c r="K341" s="19">
        <v>9</v>
      </c>
      <c r="L341" s="20"/>
    </row>
    <row r="342" spans="1:12">
      <c r="A342" s="15" t="s">
        <v>361</v>
      </c>
      <c r="B342" s="16">
        <v>48</v>
      </c>
      <c r="C342" s="16" t="str">
        <f t="shared" si="5"/>
        <v>46+</v>
      </c>
      <c r="D342" s="16" t="s">
        <v>13</v>
      </c>
      <c r="E342" s="16">
        <v>4.7</v>
      </c>
      <c r="F342" s="16">
        <v>6</v>
      </c>
      <c r="G342" s="16">
        <v>7</v>
      </c>
      <c r="H342" s="16">
        <v>3</v>
      </c>
      <c r="I342" s="16">
        <v>0</v>
      </c>
      <c r="J342" s="16" t="s">
        <v>28</v>
      </c>
      <c r="K342" s="16">
        <v>8</v>
      </c>
      <c r="L342" s="21"/>
    </row>
    <row r="343" spans="1:12">
      <c r="A343" s="18" t="s">
        <v>362</v>
      </c>
      <c r="B343" s="19">
        <v>45</v>
      </c>
      <c r="C343" s="16" t="str">
        <f t="shared" si="5"/>
        <v>41-45</v>
      </c>
      <c r="D343" s="19" t="s">
        <v>21</v>
      </c>
      <c r="E343" s="19">
        <v>5.6</v>
      </c>
      <c r="F343" s="19">
        <v>6</v>
      </c>
      <c r="G343" s="19">
        <v>6</v>
      </c>
      <c r="H343" s="19">
        <v>1</v>
      </c>
      <c r="I343" s="19">
        <v>3</v>
      </c>
      <c r="J343" s="19" t="s">
        <v>17</v>
      </c>
      <c r="K343" s="19">
        <v>7</v>
      </c>
      <c r="L343" s="20"/>
    </row>
    <row r="344" spans="1:12">
      <c r="A344" s="15" t="s">
        <v>363</v>
      </c>
      <c r="B344" s="16">
        <v>38</v>
      </c>
      <c r="C344" s="16" t="str">
        <f t="shared" si="5"/>
        <v>36-40</v>
      </c>
      <c r="D344" s="16" t="s">
        <v>21</v>
      </c>
      <c r="E344" s="16">
        <v>5.9</v>
      </c>
      <c r="F344" s="16">
        <v>7</v>
      </c>
      <c r="G344" s="16">
        <v>7</v>
      </c>
      <c r="H344" s="16">
        <v>1</v>
      </c>
      <c r="I344" s="16">
        <v>1</v>
      </c>
      <c r="J344" s="16" t="s">
        <v>28</v>
      </c>
      <c r="K344" s="16">
        <v>8</v>
      </c>
      <c r="L344" s="21"/>
    </row>
    <row r="345" spans="1:12">
      <c r="A345" s="18" t="s">
        <v>364</v>
      </c>
      <c r="B345" s="19">
        <v>25</v>
      </c>
      <c r="C345" s="16" t="str">
        <f t="shared" si="5"/>
        <v>21–25</v>
      </c>
      <c r="D345" s="19" t="s">
        <v>13</v>
      </c>
      <c r="E345" s="19">
        <v>6.3</v>
      </c>
      <c r="F345" s="19">
        <v>5</v>
      </c>
      <c r="G345" s="19">
        <v>9</v>
      </c>
      <c r="H345" s="19">
        <v>5</v>
      </c>
      <c r="I345" s="19">
        <v>4</v>
      </c>
      <c r="J345" s="19" t="s">
        <v>14</v>
      </c>
      <c r="K345" s="19">
        <v>8</v>
      </c>
      <c r="L345" s="20"/>
    </row>
    <row r="346" spans="1:12">
      <c r="A346" s="15" t="s">
        <v>365</v>
      </c>
      <c r="B346" s="16">
        <v>20</v>
      </c>
      <c r="C346" s="16" t="str">
        <f t="shared" si="5"/>
        <v>16–20</v>
      </c>
      <c r="D346" s="16" t="s">
        <v>21</v>
      </c>
      <c r="E346" s="16">
        <v>3.6</v>
      </c>
      <c r="F346" s="16">
        <v>6</v>
      </c>
      <c r="G346" s="16">
        <v>5</v>
      </c>
      <c r="H346" s="16">
        <v>2</v>
      </c>
      <c r="I346" s="16">
        <v>2</v>
      </c>
      <c r="J346" s="16" t="s">
        <v>24</v>
      </c>
      <c r="K346" s="16">
        <v>10</v>
      </c>
      <c r="L346" s="21"/>
    </row>
    <row r="347" spans="1:12">
      <c r="A347" s="18" t="s">
        <v>366</v>
      </c>
      <c r="B347" s="19">
        <v>49</v>
      </c>
      <c r="C347" s="16" t="str">
        <f t="shared" si="5"/>
        <v>46+</v>
      </c>
      <c r="D347" s="19" t="s">
        <v>13</v>
      </c>
      <c r="E347" s="19">
        <v>6.7</v>
      </c>
      <c r="F347" s="19">
        <v>6</v>
      </c>
      <c r="G347" s="19">
        <v>8</v>
      </c>
      <c r="H347" s="19">
        <v>1</v>
      </c>
      <c r="I347" s="19">
        <v>4</v>
      </c>
      <c r="J347" s="19" t="s">
        <v>28</v>
      </c>
      <c r="K347" s="19">
        <v>8</v>
      </c>
      <c r="L347" s="20"/>
    </row>
    <row r="348" spans="1:12">
      <c r="A348" s="15" t="s">
        <v>367</v>
      </c>
      <c r="B348" s="16">
        <v>46</v>
      </c>
      <c r="C348" s="16" t="str">
        <f t="shared" si="5"/>
        <v>46+</v>
      </c>
      <c r="D348" s="16" t="s">
        <v>16</v>
      </c>
      <c r="E348" s="16">
        <v>3.5</v>
      </c>
      <c r="F348" s="16">
        <v>7</v>
      </c>
      <c r="G348" s="16">
        <v>6</v>
      </c>
      <c r="H348" s="16">
        <v>1</v>
      </c>
      <c r="I348" s="16">
        <v>2</v>
      </c>
      <c r="J348" s="16" t="s">
        <v>19</v>
      </c>
      <c r="K348" s="16">
        <v>10</v>
      </c>
      <c r="L348" s="21"/>
    </row>
    <row r="349" spans="1:12">
      <c r="A349" s="18" t="s">
        <v>368</v>
      </c>
      <c r="B349" s="19">
        <v>25</v>
      </c>
      <c r="C349" s="16" t="str">
        <f t="shared" si="5"/>
        <v>21–25</v>
      </c>
      <c r="D349" s="19" t="s">
        <v>13</v>
      </c>
      <c r="E349" s="19">
        <v>8.4</v>
      </c>
      <c r="F349" s="19">
        <v>5</v>
      </c>
      <c r="G349" s="19">
        <v>8</v>
      </c>
      <c r="H349" s="19">
        <v>2</v>
      </c>
      <c r="I349" s="19">
        <v>3</v>
      </c>
      <c r="J349" s="19" t="s">
        <v>22</v>
      </c>
      <c r="K349" s="19">
        <v>8</v>
      </c>
      <c r="L349" s="20"/>
    </row>
    <row r="350" spans="1:12">
      <c r="A350" s="15" t="s">
        <v>369</v>
      </c>
      <c r="B350" s="16">
        <v>34</v>
      </c>
      <c r="C350" s="16" t="str">
        <f t="shared" si="5"/>
        <v>31-35</v>
      </c>
      <c r="D350" s="16" t="s">
        <v>13</v>
      </c>
      <c r="E350" s="16">
        <v>4.0999999999999996</v>
      </c>
      <c r="F350" s="16">
        <v>8</v>
      </c>
      <c r="G350" s="16">
        <v>4</v>
      </c>
      <c r="H350" s="16">
        <v>5</v>
      </c>
      <c r="I350" s="16">
        <v>4</v>
      </c>
      <c r="J350" s="16" t="s">
        <v>17</v>
      </c>
      <c r="K350" s="16">
        <v>10</v>
      </c>
      <c r="L350" s="21"/>
    </row>
    <row r="351" spans="1:12">
      <c r="A351" s="18" t="s">
        <v>370</v>
      </c>
      <c r="B351" s="19">
        <v>47</v>
      </c>
      <c r="C351" s="16" t="str">
        <f t="shared" si="5"/>
        <v>46+</v>
      </c>
      <c r="D351" s="19" t="s">
        <v>13</v>
      </c>
      <c r="E351" s="19">
        <v>6</v>
      </c>
      <c r="F351" s="19">
        <v>6</v>
      </c>
      <c r="G351" s="19">
        <v>7</v>
      </c>
      <c r="H351" s="19">
        <v>3</v>
      </c>
      <c r="I351" s="19">
        <v>2</v>
      </c>
      <c r="J351" s="19" t="s">
        <v>28</v>
      </c>
      <c r="K351" s="19">
        <v>8</v>
      </c>
      <c r="L351" s="20"/>
    </row>
    <row r="352" spans="1:12">
      <c r="A352" s="15" t="s">
        <v>371</v>
      </c>
      <c r="B352" s="16">
        <v>16</v>
      </c>
      <c r="C352" s="16" t="str">
        <f t="shared" si="5"/>
        <v>16–20</v>
      </c>
      <c r="D352" s="16" t="s">
        <v>16</v>
      </c>
      <c r="E352" s="16">
        <v>7.3</v>
      </c>
      <c r="F352" s="16">
        <v>5</v>
      </c>
      <c r="G352" s="16">
        <v>9</v>
      </c>
      <c r="H352" s="16">
        <v>0</v>
      </c>
      <c r="I352" s="16">
        <v>2</v>
      </c>
      <c r="J352" s="16" t="s">
        <v>28</v>
      </c>
      <c r="K352" s="16">
        <v>8</v>
      </c>
      <c r="L352" s="21"/>
    </row>
    <row r="353" spans="1:12">
      <c r="A353" s="18" t="s">
        <v>372</v>
      </c>
      <c r="B353" s="19">
        <v>20</v>
      </c>
      <c r="C353" s="16" t="str">
        <f t="shared" si="5"/>
        <v>16–20</v>
      </c>
      <c r="D353" s="19" t="s">
        <v>21</v>
      </c>
      <c r="E353" s="19">
        <v>5</v>
      </c>
      <c r="F353" s="19">
        <v>6</v>
      </c>
      <c r="G353" s="19">
        <v>5</v>
      </c>
      <c r="H353" s="19">
        <v>3</v>
      </c>
      <c r="I353" s="19">
        <v>3</v>
      </c>
      <c r="J353" s="19" t="s">
        <v>19</v>
      </c>
      <c r="K353" s="19">
        <v>9</v>
      </c>
      <c r="L353" s="20"/>
    </row>
    <row r="354" spans="1:12">
      <c r="A354" s="15" t="s">
        <v>373</v>
      </c>
      <c r="B354" s="16">
        <v>19</v>
      </c>
      <c r="C354" s="16" t="str">
        <f t="shared" si="5"/>
        <v>16–20</v>
      </c>
      <c r="D354" s="16" t="s">
        <v>21</v>
      </c>
      <c r="E354" s="16">
        <v>6.1</v>
      </c>
      <c r="F354" s="16">
        <v>6</v>
      </c>
      <c r="G354" s="16">
        <v>8</v>
      </c>
      <c r="H354" s="16">
        <v>3</v>
      </c>
      <c r="I354" s="16">
        <v>3</v>
      </c>
      <c r="J354" s="16" t="s">
        <v>24</v>
      </c>
      <c r="K354" s="16">
        <v>9</v>
      </c>
      <c r="L354" s="21"/>
    </row>
    <row r="355" spans="1:12">
      <c r="A355" s="18" t="s">
        <v>374</v>
      </c>
      <c r="B355" s="19">
        <v>31</v>
      </c>
      <c r="C355" s="16" t="str">
        <f t="shared" si="5"/>
        <v>31-35</v>
      </c>
      <c r="D355" s="19" t="s">
        <v>13</v>
      </c>
      <c r="E355" s="19">
        <v>8.1</v>
      </c>
      <c r="F355" s="19">
        <v>5</v>
      </c>
      <c r="G355" s="19">
        <v>9</v>
      </c>
      <c r="H355" s="19">
        <v>2</v>
      </c>
      <c r="I355" s="19">
        <v>2</v>
      </c>
      <c r="J355" s="19" t="s">
        <v>28</v>
      </c>
      <c r="K355" s="19">
        <v>6</v>
      </c>
      <c r="L355" s="20"/>
    </row>
    <row r="356" spans="1:12">
      <c r="A356" s="15" t="s">
        <v>375</v>
      </c>
      <c r="B356" s="16">
        <v>39</v>
      </c>
      <c r="C356" s="16" t="str">
        <f t="shared" si="5"/>
        <v>36-40</v>
      </c>
      <c r="D356" s="16" t="s">
        <v>21</v>
      </c>
      <c r="E356" s="16">
        <v>6.5</v>
      </c>
      <c r="F356" s="16">
        <v>5</v>
      </c>
      <c r="G356" s="16">
        <v>5</v>
      </c>
      <c r="H356" s="16">
        <v>5</v>
      </c>
      <c r="I356" s="16">
        <v>0</v>
      </c>
      <c r="J356" s="16" t="s">
        <v>28</v>
      </c>
      <c r="K356" s="16">
        <v>10</v>
      </c>
      <c r="L356" s="21"/>
    </row>
    <row r="357" spans="1:12">
      <c r="A357" s="18" t="s">
        <v>376</v>
      </c>
      <c r="B357" s="19">
        <v>31</v>
      </c>
      <c r="C357" s="16" t="str">
        <f t="shared" si="5"/>
        <v>31-35</v>
      </c>
      <c r="D357" s="19" t="s">
        <v>13</v>
      </c>
      <c r="E357" s="19">
        <v>6.1</v>
      </c>
      <c r="F357" s="19">
        <v>6</v>
      </c>
      <c r="G357" s="19">
        <v>6</v>
      </c>
      <c r="H357" s="19">
        <v>2</v>
      </c>
      <c r="I357" s="19">
        <v>2</v>
      </c>
      <c r="J357" s="19" t="s">
        <v>24</v>
      </c>
      <c r="K357" s="19">
        <v>8</v>
      </c>
      <c r="L357" s="20"/>
    </row>
    <row r="358" spans="1:12">
      <c r="A358" s="15" t="s">
        <v>377</v>
      </c>
      <c r="B358" s="16">
        <v>17</v>
      </c>
      <c r="C358" s="16" t="str">
        <f t="shared" si="5"/>
        <v>16–20</v>
      </c>
      <c r="D358" s="16" t="s">
        <v>21</v>
      </c>
      <c r="E358" s="16">
        <v>2.5</v>
      </c>
      <c r="F358" s="16">
        <v>9</v>
      </c>
      <c r="G358" s="16">
        <v>4</v>
      </c>
      <c r="H358" s="16">
        <v>5</v>
      </c>
      <c r="I358" s="16">
        <v>4</v>
      </c>
      <c r="J358" s="16" t="s">
        <v>19</v>
      </c>
      <c r="K358" s="16">
        <v>10</v>
      </c>
      <c r="L358" s="21"/>
    </row>
    <row r="359" spans="1:12">
      <c r="A359" s="18" t="s">
        <v>378</v>
      </c>
      <c r="B359" s="19">
        <v>43</v>
      </c>
      <c r="C359" s="16" t="str">
        <f t="shared" si="5"/>
        <v>41-45</v>
      </c>
      <c r="D359" s="19" t="s">
        <v>13</v>
      </c>
      <c r="E359" s="19">
        <v>3.8</v>
      </c>
      <c r="F359" s="19">
        <v>8</v>
      </c>
      <c r="G359" s="19">
        <v>5</v>
      </c>
      <c r="H359" s="19">
        <v>4</v>
      </c>
      <c r="I359" s="19">
        <v>1</v>
      </c>
      <c r="J359" s="19" t="s">
        <v>17</v>
      </c>
      <c r="K359" s="19">
        <v>10</v>
      </c>
      <c r="L359" s="20"/>
    </row>
    <row r="360" spans="1:12">
      <c r="A360" s="15" t="s">
        <v>379</v>
      </c>
      <c r="B360" s="16">
        <v>47</v>
      </c>
      <c r="C360" s="16" t="str">
        <f t="shared" si="5"/>
        <v>46+</v>
      </c>
      <c r="D360" s="16" t="s">
        <v>13</v>
      </c>
      <c r="E360" s="16">
        <v>7.4</v>
      </c>
      <c r="F360" s="16">
        <v>6</v>
      </c>
      <c r="G360" s="16">
        <v>7</v>
      </c>
      <c r="H360" s="16">
        <v>5</v>
      </c>
      <c r="I360" s="16">
        <v>2</v>
      </c>
      <c r="J360" s="16" t="s">
        <v>17</v>
      </c>
      <c r="K360" s="16">
        <v>7</v>
      </c>
      <c r="L360" s="21"/>
    </row>
    <row r="361" spans="1:12">
      <c r="A361" s="18" t="s">
        <v>380</v>
      </c>
      <c r="B361" s="19">
        <v>42</v>
      </c>
      <c r="C361" s="16" t="str">
        <f t="shared" si="5"/>
        <v>41-45</v>
      </c>
      <c r="D361" s="19" t="s">
        <v>13</v>
      </c>
      <c r="E361" s="19">
        <v>6.5</v>
      </c>
      <c r="F361" s="19">
        <v>5</v>
      </c>
      <c r="G361" s="19">
        <v>7</v>
      </c>
      <c r="H361" s="19">
        <v>1</v>
      </c>
      <c r="I361" s="19">
        <v>2</v>
      </c>
      <c r="J361" s="19" t="s">
        <v>28</v>
      </c>
      <c r="K361" s="19">
        <v>8</v>
      </c>
      <c r="L361" s="20"/>
    </row>
    <row r="362" spans="1:12">
      <c r="A362" s="15" t="s">
        <v>381</v>
      </c>
      <c r="B362" s="16">
        <v>35</v>
      </c>
      <c r="C362" s="16" t="str">
        <f t="shared" si="5"/>
        <v>31-35</v>
      </c>
      <c r="D362" s="16" t="s">
        <v>21</v>
      </c>
      <c r="E362" s="16">
        <v>6.8</v>
      </c>
      <c r="F362" s="16">
        <v>4</v>
      </c>
      <c r="G362" s="16">
        <v>9</v>
      </c>
      <c r="H362" s="16">
        <v>3</v>
      </c>
      <c r="I362" s="16">
        <v>0</v>
      </c>
      <c r="J362" s="16" t="s">
        <v>24</v>
      </c>
      <c r="K362" s="16">
        <v>7</v>
      </c>
      <c r="L362" s="21"/>
    </row>
    <row r="363" spans="1:12">
      <c r="A363" s="18" t="s">
        <v>382</v>
      </c>
      <c r="B363" s="19">
        <v>39</v>
      </c>
      <c r="C363" s="16" t="str">
        <f t="shared" si="5"/>
        <v>36-40</v>
      </c>
      <c r="D363" s="19" t="s">
        <v>21</v>
      </c>
      <c r="E363" s="19">
        <v>6.6</v>
      </c>
      <c r="F363" s="19">
        <v>6</v>
      </c>
      <c r="G363" s="19">
        <v>7</v>
      </c>
      <c r="H363" s="19">
        <v>3</v>
      </c>
      <c r="I363" s="19">
        <v>1</v>
      </c>
      <c r="J363" s="19" t="s">
        <v>28</v>
      </c>
      <c r="K363" s="19">
        <v>7</v>
      </c>
      <c r="L363" s="20"/>
    </row>
    <row r="364" spans="1:12">
      <c r="A364" s="15" t="s">
        <v>383</v>
      </c>
      <c r="B364" s="16">
        <v>27</v>
      </c>
      <c r="C364" s="16" t="str">
        <f t="shared" si="5"/>
        <v>26–30</v>
      </c>
      <c r="D364" s="16" t="s">
        <v>13</v>
      </c>
      <c r="E364" s="16">
        <v>7.8</v>
      </c>
      <c r="F364" s="16">
        <v>5</v>
      </c>
      <c r="G364" s="16">
        <v>8</v>
      </c>
      <c r="H364" s="16">
        <v>0</v>
      </c>
      <c r="I364" s="16">
        <v>4</v>
      </c>
      <c r="J364" s="16" t="s">
        <v>22</v>
      </c>
      <c r="K364" s="16">
        <v>6</v>
      </c>
      <c r="L364" s="21"/>
    </row>
    <row r="365" spans="1:12">
      <c r="A365" s="18" t="s">
        <v>384</v>
      </c>
      <c r="B365" s="19">
        <v>48</v>
      </c>
      <c r="C365" s="16" t="str">
        <f t="shared" si="5"/>
        <v>46+</v>
      </c>
      <c r="D365" s="19" t="s">
        <v>21</v>
      </c>
      <c r="E365" s="19">
        <v>5</v>
      </c>
      <c r="F365" s="19">
        <v>8</v>
      </c>
      <c r="G365" s="19">
        <v>6</v>
      </c>
      <c r="H365" s="19">
        <v>5</v>
      </c>
      <c r="I365" s="19">
        <v>0</v>
      </c>
      <c r="J365" s="19" t="s">
        <v>17</v>
      </c>
      <c r="K365" s="19">
        <v>10</v>
      </c>
      <c r="L365" s="20"/>
    </row>
    <row r="366" spans="1:12">
      <c r="A366" s="15" t="s">
        <v>385</v>
      </c>
      <c r="B366" s="16">
        <v>48</v>
      </c>
      <c r="C366" s="16" t="str">
        <f t="shared" si="5"/>
        <v>46+</v>
      </c>
      <c r="D366" s="16" t="s">
        <v>13</v>
      </c>
      <c r="E366" s="16">
        <v>5.7</v>
      </c>
      <c r="F366" s="16">
        <v>7</v>
      </c>
      <c r="G366" s="16">
        <v>7</v>
      </c>
      <c r="H366" s="16">
        <v>1</v>
      </c>
      <c r="I366" s="16">
        <v>3</v>
      </c>
      <c r="J366" s="16" t="s">
        <v>14</v>
      </c>
      <c r="K366" s="16">
        <v>9</v>
      </c>
      <c r="L366" s="21"/>
    </row>
    <row r="367" spans="1:12">
      <c r="A367" s="18" t="s">
        <v>386</v>
      </c>
      <c r="B367" s="19">
        <v>27</v>
      </c>
      <c r="C367" s="16" t="str">
        <f t="shared" si="5"/>
        <v>26–30</v>
      </c>
      <c r="D367" s="19" t="s">
        <v>21</v>
      </c>
      <c r="E367" s="19">
        <v>3.6</v>
      </c>
      <c r="F367" s="19">
        <v>8</v>
      </c>
      <c r="G367" s="19">
        <v>5</v>
      </c>
      <c r="H367" s="19">
        <v>2</v>
      </c>
      <c r="I367" s="19">
        <v>1</v>
      </c>
      <c r="J367" s="19" t="s">
        <v>22</v>
      </c>
      <c r="K367" s="19">
        <v>10</v>
      </c>
      <c r="L367" s="20"/>
    </row>
    <row r="368" spans="1:12">
      <c r="A368" s="15" t="s">
        <v>387</v>
      </c>
      <c r="B368" s="16">
        <v>18</v>
      </c>
      <c r="C368" s="16" t="str">
        <f t="shared" si="5"/>
        <v>16–20</v>
      </c>
      <c r="D368" s="16" t="s">
        <v>13</v>
      </c>
      <c r="E368" s="16">
        <v>3.2</v>
      </c>
      <c r="F368" s="16">
        <v>9</v>
      </c>
      <c r="G368" s="16">
        <v>5</v>
      </c>
      <c r="H368" s="16">
        <v>1</v>
      </c>
      <c r="I368" s="16">
        <v>3</v>
      </c>
      <c r="J368" s="16" t="s">
        <v>28</v>
      </c>
      <c r="K368" s="16">
        <v>10</v>
      </c>
      <c r="L368" s="21"/>
    </row>
    <row r="369" spans="1:12">
      <c r="A369" s="18" t="s">
        <v>388</v>
      </c>
      <c r="B369" s="19">
        <v>16</v>
      </c>
      <c r="C369" s="16" t="str">
        <f t="shared" si="5"/>
        <v>16–20</v>
      </c>
      <c r="D369" s="19" t="s">
        <v>13</v>
      </c>
      <c r="E369" s="19">
        <v>2.5</v>
      </c>
      <c r="F369" s="19">
        <v>8</v>
      </c>
      <c r="G369" s="19">
        <v>4</v>
      </c>
      <c r="H369" s="19">
        <v>4</v>
      </c>
      <c r="I369" s="19">
        <v>4</v>
      </c>
      <c r="J369" s="19" t="s">
        <v>19</v>
      </c>
      <c r="K369" s="19">
        <v>10</v>
      </c>
      <c r="L369" s="20"/>
    </row>
    <row r="370" spans="1:12">
      <c r="A370" s="15" t="s">
        <v>389</v>
      </c>
      <c r="B370" s="16">
        <v>48</v>
      </c>
      <c r="C370" s="16" t="str">
        <f t="shared" si="5"/>
        <v>46+</v>
      </c>
      <c r="D370" s="16" t="s">
        <v>21</v>
      </c>
      <c r="E370" s="16">
        <v>3.9</v>
      </c>
      <c r="F370" s="16">
        <v>6</v>
      </c>
      <c r="G370" s="16">
        <v>5</v>
      </c>
      <c r="H370" s="16">
        <v>0</v>
      </c>
      <c r="I370" s="16">
        <v>2</v>
      </c>
      <c r="J370" s="16" t="s">
        <v>17</v>
      </c>
      <c r="K370" s="16">
        <v>10</v>
      </c>
      <c r="L370" s="21"/>
    </row>
    <row r="371" spans="1:12">
      <c r="A371" s="18" t="s">
        <v>390</v>
      </c>
      <c r="B371" s="19">
        <v>25</v>
      </c>
      <c r="C371" s="16" t="str">
        <f t="shared" si="5"/>
        <v>21–25</v>
      </c>
      <c r="D371" s="19" t="s">
        <v>13</v>
      </c>
      <c r="E371" s="19">
        <v>8.3000000000000007</v>
      </c>
      <c r="F371" s="19">
        <v>5</v>
      </c>
      <c r="G371" s="19">
        <v>8</v>
      </c>
      <c r="H371" s="19">
        <v>4</v>
      </c>
      <c r="I371" s="19">
        <v>2</v>
      </c>
      <c r="J371" s="19" t="s">
        <v>14</v>
      </c>
      <c r="K371" s="19">
        <v>7</v>
      </c>
      <c r="L371" s="20"/>
    </row>
    <row r="372" spans="1:12">
      <c r="A372" s="15" t="s">
        <v>391</v>
      </c>
      <c r="B372" s="16">
        <v>44</v>
      </c>
      <c r="C372" s="16" t="str">
        <f t="shared" si="5"/>
        <v>41-45</v>
      </c>
      <c r="D372" s="16" t="s">
        <v>13</v>
      </c>
      <c r="E372" s="16">
        <v>2.7</v>
      </c>
      <c r="F372" s="16">
        <v>9</v>
      </c>
      <c r="G372" s="16">
        <v>5</v>
      </c>
      <c r="H372" s="16">
        <v>5</v>
      </c>
      <c r="I372" s="16">
        <v>1</v>
      </c>
      <c r="J372" s="16" t="s">
        <v>22</v>
      </c>
      <c r="K372" s="16">
        <v>10</v>
      </c>
      <c r="L372" s="21"/>
    </row>
    <row r="373" spans="1:12">
      <c r="A373" s="18" t="s">
        <v>392</v>
      </c>
      <c r="B373" s="19">
        <v>28</v>
      </c>
      <c r="C373" s="16" t="str">
        <f t="shared" si="5"/>
        <v>26–30</v>
      </c>
      <c r="D373" s="19" t="s">
        <v>21</v>
      </c>
      <c r="E373" s="19">
        <v>5</v>
      </c>
      <c r="F373" s="19">
        <v>7</v>
      </c>
      <c r="G373" s="19">
        <v>5</v>
      </c>
      <c r="H373" s="19">
        <v>4</v>
      </c>
      <c r="I373" s="19">
        <v>0</v>
      </c>
      <c r="J373" s="19" t="s">
        <v>17</v>
      </c>
      <c r="K373" s="19">
        <v>9</v>
      </c>
      <c r="L373" s="20"/>
    </row>
    <row r="374" spans="1:12">
      <c r="A374" s="15" t="s">
        <v>393</v>
      </c>
      <c r="B374" s="16">
        <v>27</v>
      </c>
      <c r="C374" s="16" t="str">
        <f t="shared" si="5"/>
        <v>26–30</v>
      </c>
      <c r="D374" s="16" t="s">
        <v>16</v>
      </c>
      <c r="E374" s="16">
        <v>3.2</v>
      </c>
      <c r="F374" s="16">
        <v>9</v>
      </c>
      <c r="G374" s="16">
        <v>6</v>
      </c>
      <c r="H374" s="16">
        <v>4</v>
      </c>
      <c r="I374" s="16">
        <v>5</v>
      </c>
      <c r="J374" s="16" t="s">
        <v>24</v>
      </c>
      <c r="K374" s="16">
        <v>10</v>
      </c>
      <c r="L374" s="21"/>
    </row>
    <row r="375" spans="1:12">
      <c r="A375" s="18" t="s">
        <v>394</v>
      </c>
      <c r="B375" s="19">
        <v>46</v>
      </c>
      <c r="C375" s="16" t="str">
        <f t="shared" si="5"/>
        <v>46+</v>
      </c>
      <c r="D375" s="19" t="s">
        <v>13</v>
      </c>
      <c r="E375" s="19">
        <v>4.4000000000000004</v>
      </c>
      <c r="F375" s="19">
        <v>7</v>
      </c>
      <c r="G375" s="19">
        <v>7</v>
      </c>
      <c r="H375" s="19">
        <v>5</v>
      </c>
      <c r="I375" s="19">
        <v>1</v>
      </c>
      <c r="J375" s="19" t="s">
        <v>19</v>
      </c>
      <c r="K375" s="19">
        <v>8</v>
      </c>
      <c r="L375" s="20"/>
    </row>
    <row r="376" spans="1:12">
      <c r="A376" s="15" t="s">
        <v>395</v>
      </c>
      <c r="B376" s="16">
        <v>17</v>
      </c>
      <c r="C376" s="16" t="str">
        <f t="shared" si="5"/>
        <v>16–20</v>
      </c>
      <c r="D376" s="16" t="s">
        <v>13</v>
      </c>
      <c r="E376" s="16">
        <v>5.8</v>
      </c>
      <c r="F376" s="16">
        <v>6</v>
      </c>
      <c r="G376" s="16">
        <v>7</v>
      </c>
      <c r="H376" s="16">
        <v>1</v>
      </c>
      <c r="I376" s="16">
        <v>5</v>
      </c>
      <c r="J376" s="16" t="s">
        <v>22</v>
      </c>
      <c r="K376" s="16">
        <v>9</v>
      </c>
      <c r="L376" s="21"/>
    </row>
    <row r="377" spans="1:12">
      <c r="A377" s="18" t="s">
        <v>396</v>
      </c>
      <c r="B377" s="19">
        <v>38</v>
      </c>
      <c r="C377" s="16" t="str">
        <f t="shared" si="5"/>
        <v>36-40</v>
      </c>
      <c r="D377" s="19" t="s">
        <v>21</v>
      </c>
      <c r="E377" s="19">
        <v>4.2</v>
      </c>
      <c r="F377" s="19">
        <v>8</v>
      </c>
      <c r="G377" s="19">
        <v>5</v>
      </c>
      <c r="H377" s="19">
        <v>6</v>
      </c>
      <c r="I377" s="19">
        <v>1</v>
      </c>
      <c r="J377" s="19" t="s">
        <v>24</v>
      </c>
      <c r="K377" s="19">
        <v>10</v>
      </c>
      <c r="L377" s="20"/>
    </row>
    <row r="378" spans="1:12">
      <c r="A378" s="15" t="s">
        <v>397</v>
      </c>
      <c r="B378" s="16">
        <v>32</v>
      </c>
      <c r="C378" s="16" t="str">
        <f t="shared" si="5"/>
        <v>31-35</v>
      </c>
      <c r="D378" s="16" t="s">
        <v>13</v>
      </c>
      <c r="E378" s="16">
        <v>7.5</v>
      </c>
      <c r="F378" s="16">
        <v>4</v>
      </c>
      <c r="G378" s="16">
        <v>7</v>
      </c>
      <c r="H378" s="16">
        <v>2</v>
      </c>
      <c r="I378" s="16">
        <v>3</v>
      </c>
      <c r="J378" s="16" t="s">
        <v>28</v>
      </c>
      <c r="K378" s="16">
        <v>6</v>
      </c>
      <c r="L378" s="21"/>
    </row>
    <row r="379" spans="1:12">
      <c r="A379" s="18" t="s">
        <v>398</v>
      </c>
      <c r="B379" s="19">
        <v>41</v>
      </c>
      <c r="C379" s="16" t="str">
        <f t="shared" si="5"/>
        <v>41-45</v>
      </c>
      <c r="D379" s="19" t="s">
        <v>13</v>
      </c>
      <c r="E379" s="19">
        <v>8.3000000000000007</v>
      </c>
      <c r="F379" s="19">
        <v>4</v>
      </c>
      <c r="G379" s="19">
        <v>10</v>
      </c>
      <c r="H379" s="19">
        <v>3</v>
      </c>
      <c r="I379" s="19">
        <v>1</v>
      </c>
      <c r="J379" s="19" t="s">
        <v>24</v>
      </c>
      <c r="K379" s="19">
        <v>6</v>
      </c>
      <c r="L379" s="20"/>
    </row>
    <row r="380" spans="1:12">
      <c r="A380" s="15" t="s">
        <v>399</v>
      </c>
      <c r="B380" s="16">
        <v>23</v>
      </c>
      <c r="C380" s="16" t="str">
        <f t="shared" si="5"/>
        <v>21–25</v>
      </c>
      <c r="D380" s="16" t="s">
        <v>13</v>
      </c>
      <c r="E380" s="16">
        <v>1.5</v>
      </c>
      <c r="F380" s="16">
        <v>9</v>
      </c>
      <c r="G380" s="16">
        <v>3</v>
      </c>
      <c r="H380" s="16">
        <v>2</v>
      </c>
      <c r="I380" s="16">
        <v>3</v>
      </c>
      <c r="J380" s="16" t="s">
        <v>22</v>
      </c>
      <c r="K380" s="16">
        <v>10</v>
      </c>
      <c r="L380" s="21"/>
    </row>
    <row r="381" spans="1:12">
      <c r="A381" s="18" t="s">
        <v>400</v>
      </c>
      <c r="B381" s="19">
        <v>44</v>
      </c>
      <c r="C381" s="16" t="str">
        <f t="shared" si="5"/>
        <v>41-45</v>
      </c>
      <c r="D381" s="19" t="s">
        <v>21</v>
      </c>
      <c r="E381" s="19">
        <v>4.3</v>
      </c>
      <c r="F381" s="19">
        <v>8</v>
      </c>
      <c r="G381" s="19">
        <v>7</v>
      </c>
      <c r="H381" s="19">
        <v>4</v>
      </c>
      <c r="I381" s="19">
        <v>2</v>
      </c>
      <c r="J381" s="19" t="s">
        <v>22</v>
      </c>
      <c r="K381" s="19">
        <v>10</v>
      </c>
      <c r="L381" s="20"/>
    </row>
    <row r="382" spans="1:12">
      <c r="A382" s="15" t="s">
        <v>401</v>
      </c>
      <c r="B382" s="16">
        <v>41</v>
      </c>
      <c r="C382" s="16" t="str">
        <f t="shared" si="5"/>
        <v>41-45</v>
      </c>
      <c r="D382" s="16" t="s">
        <v>21</v>
      </c>
      <c r="E382" s="16">
        <v>5.6</v>
      </c>
      <c r="F382" s="16">
        <v>6</v>
      </c>
      <c r="G382" s="16">
        <v>7</v>
      </c>
      <c r="H382" s="16">
        <v>2</v>
      </c>
      <c r="I382" s="16">
        <v>2</v>
      </c>
      <c r="J382" s="16" t="s">
        <v>28</v>
      </c>
      <c r="K382" s="16">
        <v>9</v>
      </c>
      <c r="L382" s="21"/>
    </row>
    <row r="383" spans="1:12">
      <c r="A383" s="18" t="s">
        <v>402</v>
      </c>
      <c r="B383" s="19">
        <v>25</v>
      </c>
      <c r="C383" s="16" t="str">
        <f t="shared" si="5"/>
        <v>21–25</v>
      </c>
      <c r="D383" s="19" t="s">
        <v>13</v>
      </c>
      <c r="E383" s="19">
        <v>7.5</v>
      </c>
      <c r="F383" s="19">
        <v>4</v>
      </c>
      <c r="G383" s="19">
        <v>8</v>
      </c>
      <c r="H383" s="19">
        <v>3</v>
      </c>
      <c r="I383" s="19">
        <v>3</v>
      </c>
      <c r="J383" s="19" t="s">
        <v>24</v>
      </c>
      <c r="K383" s="19">
        <v>7</v>
      </c>
      <c r="L383" s="20"/>
    </row>
    <row r="384" spans="1:12">
      <c r="A384" s="15" t="s">
        <v>403</v>
      </c>
      <c r="B384" s="16">
        <v>41</v>
      </c>
      <c r="C384" s="16" t="str">
        <f t="shared" si="5"/>
        <v>41-45</v>
      </c>
      <c r="D384" s="16" t="s">
        <v>13</v>
      </c>
      <c r="E384" s="16">
        <v>4.7</v>
      </c>
      <c r="F384" s="16">
        <v>6</v>
      </c>
      <c r="G384" s="16">
        <v>6</v>
      </c>
      <c r="H384" s="16">
        <v>1</v>
      </c>
      <c r="I384" s="16">
        <v>2</v>
      </c>
      <c r="J384" s="16" t="s">
        <v>24</v>
      </c>
      <c r="K384" s="16">
        <v>9</v>
      </c>
      <c r="L384" s="21"/>
    </row>
    <row r="385" spans="1:12">
      <c r="A385" s="18" t="s">
        <v>404</v>
      </c>
      <c r="B385" s="19">
        <v>49</v>
      </c>
      <c r="C385" s="16" t="str">
        <f t="shared" si="5"/>
        <v>46+</v>
      </c>
      <c r="D385" s="19" t="s">
        <v>13</v>
      </c>
      <c r="E385" s="19">
        <v>5.5</v>
      </c>
      <c r="F385" s="19">
        <v>7</v>
      </c>
      <c r="G385" s="19">
        <v>5</v>
      </c>
      <c r="H385" s="19">
        <v>5</v>
      </c>
      <c r="I385" s="19">
        <v>0</v>
      </c>
      <c r="J385" s="19" t="s">
        <v>28</v>
      </c>
      <c r="K385" s="19">
        <v>10</v>
      </c>
      <c r="L385" s="20"/>
    </row>
    <row r="386" spans="1:12">
      <c r="A386" s="15" t="s">
        <v>405</v>
      </c>
      <c r="B386" s="16">
        <v>22</v>
      </c>
      <c r="C386" s="16" t="str">
        <f t="shared" si="5"/>
        <v>21–25</v>
      </c>
      <c r="D386" s="16" t="s">
        <v>21</v>
      </c>
      <c r="E386" s="16">
        <v>3.4</v>
      </c>
      <c r="F386" s="16">
        <v>8</v>
      </c>
      <c r="G386" s="16">
        <v>6</v>
      </c>
      <c r="H386" s="16">
        <v>4</v>
      </c>
      <c r="I386" s="16">
        <v>4</v>
      </c>
      <c r="J386" s="16" t="s">
        <v>24</v>
      </c>
      <c r="K386" s="16">
        <v>10</v>
      </c>
      <c r="L386" s="21"/>
    </row>
    <row r="387" spans="1:12">
      <c r="A387" s="18" t="s">
        <v>406</v>
      </c>
      <c r="B387" s="19">
        <v>19</v>
      </c>
      <c r="C387" s="16" t="str">
        <f t="shared" ref="C387:C450" si="6">IF(B387&lt;=20,"16–20",IF(B387&lt;=25,"21–25",IF(B387&lt;=30,"26–30",IF(B387&lt;=35,"31-35",IF(B387&lt;=40,"36-40",IF(B387&lt;=45,"41-45","46+"))))))</f>
        <v>16–20</v>
      </c>
      <c r="D387" s="19" t="s">
        <v>13</v>
      </c>
      <c r="E387" s="19">
        <v>2.7</v>
      </c>
      <c r="F387" s="19">
        <v>8</v>
      </c>
      <c r="G387" s="19">
        <v>5</v>
      </c>
      <c r="H387" s="19">
        <v>2</v>
      </c>
      <c r="I387" s="19">
        <v>1</v>
      </c>
      <c r="J387" s="19" t="s">
        <v>17</v>
      </c>
      <c r="K387" s="19">
        <v>9</v>
      </c>
      <c r="L387" s="20"/>
    </row>
    <row r="388" spans="1:12">
      <c r="A388" s="15" t="s">
        <v>407</v>
      </c>
      <c r="B388" s="16">
        <v>26</v>
      </c>
      <c r="C388" s="16" t="str">
        <f t="shared" si="6"/>
        <v>26–30</v>
      </c>
      <c r="D388" s="16" t="s">
        <v>13</v>
      </c>
      <c r="E388" s="16">
        <v>8.1</v>
      </c>
      <c r="F388" s="16">
        <v>5</v>
      </c>
      <c r="G388" s="16">
        <v>7</v>
      </c>
      <c r="H388" s="16">
        <v>2</v>
      </c>
      <c r="I388" s="16">
        <v>3</v>
      </c>
      <c r="J388" s="16" t="s">
        <v>28</v>
      </c>
      <c r="K388" s="16">
        <v>7</v>
      </c>
      <c r="L388" s="21"/>
    </row>
    <row r="389" spans="1:12">
      <c r="A389" s="18" t="s">
        <v>408</v>
      </c>
      <c r="B389" s="19">
        <v>44</v>
      </c>
      <c r="C389" s="16" t="str">
        <f t="shared" si="6"/>
        <v>41-45</v>
      </c>
      <c r="D389" s="19" t="s">
        <v>21</v>
      </c>
      <c r="E389" s="19">
        <v>2.2000000000000002</v>
      </c>
      <c r="F389" s="19">
        <v>9</v>
      </c>
      <c r="G389" s="19">
        <v>4</v>
      </c>
      <c r="H389" s="19">
        <v>4</v>
      </c>
      <c r="I389" s="19">
        <v>4</v>
      </c>
      <c r="J389" s="19" t="s">
        <v>19</v>
      </c>
      <c r="K389" s="19">
        <v>10</v>
      </c>
      <c r="L389" s="20"/>
    </row>
    <row r="390" spans="1:12">
      <c r="A390" s="15" t="s">
        <v>409</v>
      </c>
      <c r="B390" s="16">
        <v>40</v>
      </c>
      <c r="C390" s="16" t="str">
        <f t="shared" si="6"/>
        <v>36-40</v>
      </c>
      <c r="D390" s="16" t="s">
        <v>13</v>
      </c>
      <c r="E390" s="16">
        <v>9.6999999999999993</v>
      </c>
      <c r="F390" s="16">
        <v>4</v>
      </c>
      <c r="G390" s="16">
        <v>10</v>
      </c>
      <c r="H390" s="16">
        <v>2</v>
      </c>
      <c r="I390" s="16">
        <v>2</v>
      </c>
      <c r="J390" s="16" t="s">
        <v>22</v>
      </c>
      <c r="K390" s="16">
        <v>6</v>
      </c>
      <c r="L390" s="21"/>
    </row>
    <row r="391" spans="1:12">
      <c r="A391" s="18" t="s">
        <v>410</v>
      </c>
      <c r="B391" s="19">
        <v>36</v>
      </c>
      <c r="C391" s="16" t="str">
        <f t="shared" si="6"/>
        <v>36-40</v>
      </c>
      <c r="D391" s="19" t="s">
        <v>21</v>
      </c>
      <c r="E391" s="19">
        <v>6.8</v>
      </c>
      <c r="F391" s="19">
        <v>5</v>
      </c>
      <c r="G391" s="19">
        <v>8</v>
      </c>
      <c r="H391" s="19">
        <v>3</v>
      </c>
      <c r="I391" s="19">
        <v>4</v>
      </c>
      <c r="J391" s="19" t="s">
        <v>19</v>
      </c>
      <c r="K391" s="19">
        <v>8</v>
      </c>
      <c r="L391" s="20"/>
    </row>
    <row r="392" spans="1:12">
      <c r="A392" s="15" t="s">
        <v>411</v>
      </c>
      <c r="B392" s="16">
        <v>25</v>
      </c>
      <c r="C392" s="16" t="str">
        <f t="shared" si="6"/>
        <v>21–25</v>
      </c>
      <c r="D392" s="16" t="s">
        <v>13</v>
      </c>
      <c r="E392" s="16">
        <v>6.7</v>
      </c>
      <c r="F392" s="16">
        <v>7</v>
      </c>
      <c r="G392" s="16">
        <v>7</v>
      </c>
      <c r="H392" s="16">
        <v>5</v>
      </c>
      <c r="I392" s="16">
        <v>3</v>
      </c>
      <c r="J392" s="16" t="s">
        <v>17</v>
      </c>
      <c r="K392" s="16">
        <v>8</v>
      </c>
      <c r="L392" s="21"/>
    </row>
    <row r="393" spans="1:12">
      <c r="A393" s="18" t="s">
        <v>412</v>
      </c>
      <c r="B393" s="19">
        <v>24</v>
      </c>
      <c r="C393" s="16" t="str">
        <f t="shared" si="6"/>
        <v>21–25</v>
      </c>
      <c r="D393" s="19" t="s">
        <v>13</v>
      </c>
      <c r="E393" s="19">
        <v>6.5</v>
      </c>
      <c r="F393" s="19">
        <v>7</v>
      </c>
      <c r="G393" s="19">
        <v>6</v>
      </c>
      <c r="H393" s="19">
        <v>1</v>
      </c>
      <c r="I393" s="19">
        <v>1</v>
      </c>
      <c r="J393" s="19" t="s">
        <v>17</v>
      </c>
      <c r="K393" s="19">
        <v>7</v>
      </c>
      <c r="L393" s="20"/>
    </row>
    <row r="394" spans="1:12">
      <c r="A394" s="15" t="s">
        <v>413</v>
      </c>
      <c r="B394" s="16">
        <v>39</v>
      </c>
      <c r="C394" s="16" t="str">
        <f t="shared" si="6"/>
        <v>36-40</v>
      </c>
      <c r="D394" s="16" t="s">
        <v>13</v>
      </c>
      <c r="E394" s="16">
        <v>5</v>
      </c>
      <c r="F394" s="16">
        <v>5</v>
      </c>
      <c r="G394" s="16">
        <v>6</v>
      </c>
      <c r="H394" s="16">
        <v>4</v>
      </c>
      <c r="I394" s="16">
        <v>5</v>
      </c>
      <c r="J394" s="16" t="s">
        <v>14</v>
      </c>
      <c r="K394" s="16">
        <v>8</v>
      </c>
      <c r="L394" s="21"/>
    </row>
    <row r="395" spans="1:12">
      <c r="A395" s="18" t="s">
        <v>414</v>
      </c>
      <c r="B395" s="19">
        <v>33</v>
      </c>
      <c r="C395" s="16" t="str">
        <f t="shared" si="6"/>
        <v>31-35</v>
      </c>
      <c r="D395" s="19" t="s">
        <v>21</v>
      </c>
      <c r="E395" s="19">
        <v>6.2</v>
      </c>
      <c r="F395" s="19">
        <v>6</v>
      </c>
      <c r="G395" s="19">
        <v>7</v>
      </c>
      <c r="H395" s="19">
        <v>4</v>
      </c>
      <c r="I395" s="19">
        <v>1</v>
      </c>
      <c r="J395" s="19" t="s">
        <v>14</v>
      </c>
      <c r="K395" s="19">
        <v>9</v>
      </c>
      <c r="L395" s="20"/>
    </row>
    <row r="396" spans="1:12">
      <c r="A396" s="15" t="s">
        <v>415</v>
      </c>
      <c r="B396" s="16">
        <v>47</v>
      </c>
      <c r="C396" s="16" t="str">
        <f t="shared" si="6"/>
        <v>46+</v>
      </c>
      <c r="D396" s="16" t="s">
        <v>21</v>
      </c>
      <c r="E396" s="16">
        <v>5.2</v>
      </c>
      <c r="F396" s="16">
        <v>7</v>
      </c>
      <c r="G396" s="16">
        <v>7</v>
      </c>
      <c r="H396" s="16">
        <v>3</v>
      </c>
      <c r="I396" s="16">
        <v>2</v>
      </c>
      <c r="J396" s="16" t="s">
        <v>14</v>
      </c>
      <c r="K396" s="16">
        <v>9</v>
      </c>
      <c r="L396" s="21"/>
    </row>
    <row r="397" spans="1:12">
      <c r="A397" s="18" t="s">
        <v>416</v>
      </c>
      <c r="B397" s="19">
        <v>39</v>
      </c>
      <c r="C397" s="16" t="str">
        <f t="shared" si="6"/>
        <v>36-40</v>
      </c>
      <c r="D397" s="19" t="s">
        <v>21</v>
      </c>
      <c r="E397" s="19">
        <v>6.5</v>
      </c>
      <c r="F397" s="19">
        <v>5</v>
      </c>
      <c r="G397" s="19">
        <v>7</v>
      </c>
      <c r="H397" s="19">
        <v>2</v>
      </c>
      <c r="I397" s="19">
        <v>2</v>
      </c>
      <c r="J397" s="19" t="s">
        <v>28</v>
      </c>
      <c r="K397" s="19">
        <v>8</v>
      </c>
      <c r="L397" s="20"/>
    </row>
    <row r="398" spans="1:12">
      <c r="A398" s="15" t="s">
        <v>417</v>
      </c>
      <c r="B398" s="16">
        <v>38</v>
      </c>
      <c r="C398" s="16" t="str">
        <f t="shared" si="6"/>
        <v>36-40</v>
      </c>
      <c r="D398" s="16" t="s">
        <v>13</v>
      </c>
      <c r="E398" s="16">
        <v>5.4</v>
      </c>
      <c r="F398" s="16">
        <v>8</v>
      </c>
      <c r="G398" s="16">
        <v>9</v>
      </c>
      <c r="H398" s="16">
        <v>5</v>
      </c>
      <c r="I398" s="16">
        <v>3</v>
      </c>
      <c r="J398" s="16" t="s">
        <v>24</v>
      </c>
      <c r="K398" s="16">
        <v>8</v>
      </c>
      <c r="L398" s="21"/>
    </row>
    <row r="399" spans="1:12">
      <c r="A399" s="18" t="s">
        <v>418</v>
      </c>
      <c r="B399" s="19">
        <v>47</v>
      </c>
      <c r="C399" s="16" t="str">
        <f t="shared" si="6"/>
        <v>46+</v>
      </c>
      <c r="D399" s="19" t="s">
        <v>21</v>
      </c>
      <c r="E399" s="19">
        <v>3.8</v>
      </c>
      <c r="F399" s="19">
        <v>8</v>
      </c>
      <c r="G399" s="19">
        <v>4</v>
      </c>
      <c r="H399" s="19">
        <v>2</v>
      </c>
      <c r="I399" s="19">
        <v>4</v>
      </c>
      <c r="J399" s="19" t="s">
        <v>17</v>
      </c>
      <c r="K399" s="19">
        <v>10</v>
      </c>
      <c r="L399" s="20"/>
    </row>
    <row r="400" spans="1:12">
      <c r="A400" s="15" t="s">
        <v>419</v>
      </c>
      <c r="B400" s="16">
        <v>27</v>
      </c>
      <c r="C400" s="16" t="str">
        <f t="shared" si="6"/>
        <v>26–30</v>
      </c>
      <c r="D400" s="16" t="s">
        <v>13</v>
      </c>
      <c r="E400" s="16">
        <v>3.9</v>
      </c>
      <c r="F400" s="16">
        <v>7</v>
      </c>
      <c r="G400" s="16">
        <v>5</v>
      </c>
      <c r="H400" s="16">
        <v>0</v>
      </c>
      <c r="I400" s="16">
        <v>4</v>
      </c>
      <c r="J400" s="16" t="s">
        <v>19</v>
      </c>
      <c r="K400" s="16">
        <v>10</v>
      </c>
      <c r="L400" s="21"/>
    </row>
    <row r="401" spans="1:12">
      <c r="A401" s="18" t="s">
        <v>420</v>
      </c>
      <c r="B401" s="19">
        <v>28</v>
      </c>
      <c r="C401" s="16" t="str">
        <f t="shared" si="6"/>
        <v>26–30</v>
      </c>
      <c r="D401" s="19" t="s">
        <v>13</v>
      </c>
      <c r="E401" s="19">
        <v>3.7</v>
      </c>
      <c r="F401" s="19">
        <v>8</v>
      </c>
      <c r="G401" s="19">
        <v>5</v>
      </c>
      <c r="H401" s="19">
        <v>4</v>
      </c>
      <c r="I401" s="19">
        <v>3</v>
      </c>
      <c r="J401" s="19" t="s">
        <v>19</v>
      </c>
      <c r="K401" s="19">
        <v>10</v>
      </c>
      <c r="L401" s="20"/>
    </row>
    <row r="402" spans="1:12">
      <c r="A402" s="15" t="s">
        <v>421</v>
      </c>
      <c r="B402" s="16">
        <v>38</v>
      </c>
      <c r="C402" s="16" t="str">
        <f t="shared" si="6"/>
        <v>36-40</v>
      </c>
      <c r="D402" s="16" t="s">
        <v>21</v>
      </c>
      <c r="E402" s="16">
        <v>7.2</v>
      </c>
      <c r="F402" s="16">
        <v>5</v>
      </c>
      <c r="G402" s="16">
        <v>8</v>
      </c>
      <c r="H402" s="16">
        <v>1</v>
      </c>
      <c r="I402" s="16">
        <v>2</v>
      </c>
      <c r="J402" s="16" t="s">
        <v>19</v>
      </c>
      <c r="K402" s="16">
        <v>9</v>
      </c>
      <c r="L402" s="21"/>
    </row>
    <row r="403" spans="1:12">
      <c r="A403" s="18" t="s">
        <v>422</v>
      </c>
      <c r="B403" s="19">
        <v>40</v>
      </c>
      <c r="C403" s="16" t="str">
        <f t="shared" si="6"/>
        <v>36-40</v>
      </c>
      <c r="D403" s="19" t="s">
        <v>13</v>
      </c>
      <c r="E403" s="19">
        <v>4.4000000000000004</v>
      </c>
      <c r="F403" s="19">
        <v>7</v>
      </c>
      <c r="G403" s="19">
        <v>5</v>
      </c>
      <c r="H403" s="19">
        <v>4</v>
      </c>
      <c r="I403" s="19">
        <v>0</v>
      </c>
      <c r="J403" s="19" t="s">
        <v>19</v>
      </c>
      <c r="K403" s="19">
        <v>10</v>
      </c>
      <c r="L403" s="20"/>
    </row>
    <row r="404" spans="1:12">
      <c r="A404" s="15" t="s">
        <v>423</v>
      </c>
      <c r="B404" s="16">
        <v>45</v>
      </c>
      <c r="C404" s="16" t="str">
        <f t="shared" si="6"/>
        <v>41-45</v>
      </c>
      <c r="D404" s="16" t="s">
        <v>13</v>
      </c>
      <c r="E404" s="16">
        <v>2.1</v>
      </c>
      <c r="F404" s="16">
        <v>10</v>
      </c>
      <c r="G404" s="16">
        <v>5</v>
      </c>
      <c r="H404" s="16">
        <v>6</v>
      </c>
      <c r="I404" s="16">
        <v>1</v>
      </c>
      <c r="J404" s="16" t="s">
        <v>14</v>
      </c>
      <c r="K404" s="16">
        <v>10</v>
      </c>
      <c r="L404" s="21"/>
    </row>
    <row r="405" spans="1:12">
      <c r="A405" s="18" t="s">
        <v>424</v>
      </c>
      <c r="B405" s="19">
        <v>32</v>
      </c>
      <c r="C405" s="16" t="str">
        <f t="shared" si="6"/>
        <v>31-35</v>
      </c>
      <c r="D405" s="19" t="s">
        <v>13</v>
      </c>
      <c r="E405" s="19">
        <v>6.2</v>
      </c>
      <c r="F405" s="19">
        <v>6</v>
      </c>
      <c r="G405" s="19">
        <v>8</v>
      </c>
      <c r="H405" s="19">
        <v>4</v>
      </c>
      <c r="I405" s="19">
        <v>5</v>
      </c>
      <c r="J405" s="19" t="s">
        <v>19</v>
      </c>
      <c r="K405" s="19">
        <v>7</v>
      </c>
      <c r="L405" s="20"/>
    </row>
    <row r="406" spans="1:12">
      <c r="A406" s="15" t="s">
        <v>425</v>
      </c>
      <c r="B406" s="16">
        <v>35</v>
      </c>
      <c r="C406" s="16" t="str">
        <f t="shared" si="6"/>
        <v>31-35</v>
      </c>
      <c r="D406" s="16" t="s">
        <v>13</v>
      </c>
      <c r="E406" s="16">
        <v>8.1999999999999993</v>
      </c>
      <c r="F406" s="16">
        <v>4</v>
      </c>
      <c r="G406" s="16">
        <v>9</v>
      </c>
      <c r="H406" s="16">
        <v>5</v>
      </c>
      <c r="I406" s="16">
        <v>0</v>
      </c>
      <c r="J406" s="16" t="s">
        <v>24</v>
      </c>
      <c r="K406" s="16">
        <v>6</v>
      </c>
      <c r="L406" s="21"/>
    </row>
    <row r="407" spans="1:12">
      <c r="A407" s="18" t="s">
        <v>426</v>
      </c>
      <c r="B407" s="19">
        <v>40</v>
      </c>
      <c r="C407" s="16" t="str">
        <f t="shared" si="6"/>
        <v>36-40</v>
      </c>
      <c r="D407" s="19" t="s">
        <v>13</v>
      </c>
      <c r="E407" s="19">
        <v>6.9</v>
      </c>
      <c r="F407" s="19">
        <v>3</v>
      </c>
      <c r="G407" s="19">
        <v>8</v>
      </c>
      <c r="H407" s="19">
        <v>7</v>
      </c>
      <c r="I407" s="19">
        <v>1</v>
      </c>
      <c r="J407" s="19" t="s">
        <v>14</v>
      </c>
      <c r="K407" s="19">
        <v>6</v>
      </c>
      <c r="L407" s="20"/>
    </row>
    <row r="408" spans="1:12">
      <c r="A408" s="15" t="s">
        <v>427</v>
      </c>
      <c r="B408" s="16">
        <v>37</v>
      </c>
      <c r="C408" s="16" t="str">
        <f t="shared" si="6"/>
        <v>36-40</v>
      </c>
      <c r="D408" s="16" t="s">
        <v>21</v>
      </c>
      <c r="E408" s="16">
        <v>4.4000000000000004</v>
      </c>
      <c r="F408" s="16">
        <v>7</v>
      </c>
      <c r="G408" s="16">
        <v>6</v>
      </c>
      <c r="H408" s="16">
        <v>5</v>
      </c>
      <c r="I408" s="16">
        <v>4</v>
      </c>
      <c r="J408" s="16" t="s">
        <v>19</v>
      </c>
      <c r="K408" s="16">
        <v>10</v>
      </c>
      <c r="L408" s="21"/>
    </row>
    <row r="409" spans="1:12">
      <c r="A409" s="18" t="s">
        <v>428</v>
      </c>
      <c r="B409" s="19">
        <v>28</v>
      </c>
      <c r="C409" s="16" t="str">
        <f t="shared" si="6"/>
        <v>26–30</v>
      </c>
      <c r="D409" s="19" t="s">
        <v>13</v>
      </c>
      <c r="E409" s="19">
        <v>2.6</v>
      </c>
      <c r="F409" s="19">
        <v>10</v>
      </c>
      <c r="G409" s="19">
        <v>3</v>
      </c>
      <c r="H409" s="19">
        <v>4</v>
      </c>
      <c r="I409" s="19">
        <v>3</v>
      </c>
      <c r="J409" s="19" t="s">
        <v>28</v>
      </c>
      <c r="K409" s="19">
        <v>10</v>
      </c>
      <c r="L409" s="20"/>
    </row>
    <row r="410" spans="1:12">
      <c r="A410" s="15" t="s">
        <v>429</v>
      </c>
      <c r="B410" s="16">
        <v>34</v>
      </c>
      <c r="C410" s="16" t="str">
        <f t="shared" si="6"/>
        <v>31-35</v>
      </c>
      <c r="D410" s="16" t="s">
        <v>21</v>
      </c>
      <c r="E410" s="16">
        <v>5.3</v>
      </c>
      <c r="F410" s="16">
        <v>6</v>
      </c>
      <c r="G410" s="16">
        <v>6</v>
      </c>
      <c r="H410" s="16">
        <v>6</v>
      </c>
      <c r="I410" s="16">
        <v>4</v>
      </c>
      <c r="J410" s="16" t="s">
        <v>22</v>
      </c>
      <c r="K410" s="16">
        <v>8</v>
      </c>
      <c r="L410" s="21"/>
    </row>
    <row r="411" spans="1:12">
      <c r="A411" s="18" t="s">
        <v>430</v>
      </c>
      <c r="B411" s="19">
        <v>27</v>
      </c>
      <c r="C411" s="16" t="str">
        <f t="shared" si="6"/>
        <v>26–30</v>
      </c>
      <c r="D411" s="19" t="s">
        <v>21</v>
      </c>
      <c r="E411" s="19">
        <v>5.2</v>
      </c>
      <c r="F411" s="19">
        <v>4</v>
      </c>
      <c r="G411" s="19">
        <v>7</v>
      </c>
      <c r="H411" s="19">
        <v>7</v>
      </c>
      <c r="I411" s="19">
        <v>3</v>
      </c>
      <c r="J411" s="19" t="s">
        <v>22</v>
      </c>
      <c r="K411" s="19">
        <v>9</v>
      </c>
      <c r="L411" s="20"/>
    </row>
    <row r="412" spans="1:12">
      <c r="A412" s="15" t="s">
        <v>431</v>
      </c>
      <c r="B412" s="16">
        <v>34</v>
      </c>
      <c r="C412" s="16" t="str">
        <f t="shared" si="6"/>
        <v>31-35</v>
      </c>
      <c r="D412" s="16" t="s">
        <v>13</v>
      </c>
      <c r="E412" s="16">
        <v>3.8</v>
      </c>
      <c r="F412" s="16">
        <v>7</v>
      </c>
      <c r="G412" s="16">
        <v>6</v>
      </c>
      <c r="H412" s="16">
        <v>7</v>
      </c>
      <c r="I412" s="16">
        <v>5</v>
      </c>
      <c r="J412" s="16" t="s">
        <v>22</v>
      </c>
      <c r="K412" s="16">
        <v>10</v>
      </c>
      <c r="L412" s="21"/>
    </row>
    <row r="413" spans="1:12">
      <c r="A413" s="18" t="s">
        <v>432</v>
      </c>
      <c r="B413" s="19">
        <v>27</v>
      </c>
      <c r="C413" s="16" t="str">
        <f t="shared" si="6"/>
        <v>26–30</v>
      </c>
      <c r="D413" s="19" t="s">
        <v>13</v>
      </c>
      <c r="E413" s="19">
        <v>6.5</v>
      </c>
      <c r="F413" s="19">
        <v>7</v>
      </c>
      <c r="G413" s="19">
        <v>7</v>
      </c>
      <c r="H413" s="19">
        <v>2</v>
      </c>
      <c r="I413" s="19">
        <v>3</v>
      </c>
      <c r="J413" s="19" t="s">
        <v>14</v>
      </c>
      <c r="K413" s="19">
        <v>10</v>
      </c>
      <c r="L413" s="20"/>
    </row>
    <row r="414" spans="1:12">
      <c r="A414" s="15" t="s">
        <v>433</v>
      </c>
      <c r="B414" s="16">
        <v>24</v>
      </c>
      <c r="C414" s="16" t="str">
        <f t="shared" si="6"/>
        <v>21–25</v>
      </c>
      <c r="D414" s="16" t="s">
        <v>13</v>
      </c>
      <c r="E414" s="16">
        <v>8.8000000000000007</v>
      </c>
      <c r="F414" s="16">
        <v>5</v>
      </c>
      <c r="G414" s="16">
        <v>9</v>
      </c>
      <c r="H414" s="16">
        <v>0</v>
      </c>
      <c r="I414" s="16">
        <v>3</v>
      </c>
      <c r="J414" s="16" t="s">
        <v>19</v>
      </c>
      <c r="K414" s="16">
        <v>6</v>
      </c>
      <c r="L414" s="21"/>
    </row>
    <row r="415" spans="1:12">
      <c r="A415" s="18" t="s">
        <v>434</v>
      </c>
      <c r="B415" s="19">
        <v>22</v>
      </c>
      <c r="C415" s="16" t="str">
        <f t="shared" si="6"/>
        <v>21–25</v>
      </c>
      <c r="D415" s="19" t="s">
        <v>21</v>
      </c>
      <c r="E415" s="19">
        <v>5.9</v>
      </c>
      <c r="F415" s="19">
        <v>5</v>
      </c>
      <c r="G415" s="19">
        <v>6</v>
      </c>
      <c r="H415" s="19">
        <v>2</v>
      </c>
      <c r="I415" s="19">
        <v>1</v>
      </c>
      <c r="J415" s="19" t="s">
        <v>17</v>
      </c>
      <c r="K415" s="19">
        <v>9</v>
      </c>
      <c r="L415" s="20"/>
    </row>
    <row r="416" spans="1:12">
      <c r="A416" s="15" t="s">
        <v>435</v>
      </c>
      <c r="B416" s="16">
        <v>43</v>
      </c>
      <c r="C416" s="16" t="str">
        <f t="shared" si="6"/>
        <v>41-45</v>
      </c>
      <c r="D416" s="16" t="s">
        <v>13</v>
      </c>
      <c r="E416" s="16">
        <v>5.8</v>
      </c>
      <c r="F416" s="16">
        <v>6</v>
      </c>
      <c r="G416" s="16">
        <v>7</v>
      </c>
      <c r="H416" s="16">
        <v>4</v>
      </c>
      <c r="I416" s="16">
        <v>3</v>
      </c>
      <c r="J416" s="16" t="s">
        <v>17</v>
      </c>
      <c r="K416" s="16">
        <v>9</v>
      </c>
      <c r="L416" s="21"/>
    </row>
    <row r="417" spans="1:12">
      <c r="A417" s="18" t="s">
        <v>436</v>
      </c>
      <c r="B417" s="19">
        <v>29</v>
      </c>
      <c r="C417" s="16" t="str">
        <f t="shared" si="6"/>
        <v>26–30</v>
      </c>
      <c r="D417" s="19" t="s">
        <v>21</v>
      </c>
      <c r="E417" s="19">
        <v>3.8</v>
      </c>
      <c r="F417" s="19">
        <v>7</v>
      </c>
      <c r="G417" s="19">
        <v>6</v>
      </c>
      <c r="H417" s="19">
        <v>3</v>
      </c>
      <c r="I417" s="19">
        <v>2</v>
      </c>
      <c r="J417" s="19" t="s">
        <v>17</v>
      </c>
      <c r="K417" s="19">
        <v>8</v>
      </c>
      <c r="L417" s="20"/>
    </row>
    <row r="418" spans="1:12">
      <c r="A418" s="15" t="s">
        <v>437</v>
      </c>
      <c r="B418" s="16">
        <v>46</v>
      </c>
      <c r="C418" s="16" t="str">
        <f t="shared" si="6"/>
        <v>46+</v>
      </c>
      <c r="D418" s="16" t="s">
        <v>13</v>
      </c>
      <c r="E418" s="16">
        <v>8</v>
      </c>
      <c r="F418" s="16">
        <v>4</v>
      </c>
      <c r="G418" s="16">
        <v>8</v>
      </c>
      <c r="H418" s="16">
        <v>3</v>
      </c>
      <c r="I418" s="16">
        <v>2</v>
      </c>
      <c r="J418" s="16" t="s">
        <v>14</v>
      </c>
      <c r="K418" s="16">
        <v>9</v>
      </c>
      <c r="L418" s="21"/>
    </row>
    <row r="419" spans="1:12">
      <c r="A419" s="18" t="s">
        <v>438</v>
      </c>
      <c r="B419" s="19">
        <v>34</v>
      </c>
      <c r="C419" s="16" t="str">
        <f t="shared" si="6"/>
        <v>31-35</v>
      </c>
      <c r="D419" s="19" t="s">
        <v>21</v>
      </c>
      <c r="E419" s="19">
        <v>5.4</v>
      </c>
      <c r="F419" s="19">
        <v>4</v>
      </c>
      <c r="G419" s="19">
        <v>5</v>
      </c>
      <c r="H419" s="19">
        <v>4</v>
      </c>
      <c r="I419" s="19">
        <v>4</v>
      </c>
      <c r="J419" s="19" t="s">
        <v>24</v>
      </c>
      <c r="K419" s="19">
        <v>10</v>
      </c>
      <c r="L419" s="20"/>
    </row>
    <row r="420" spans="1:12">
      <c r="A420" s="15" t="s">
        <v>439</v>
      </c>
      <c r="B420" s="16">
        <v>31</v>
      </c>
      <c r="C420" s="16" t="str">
        <f t="shared" si="6"/>
        <v>31-35</v>
      </c>
      <c r="D420" s="16" t="s">
        <v>13</v>
      </c>
      <c r="E420" s="16">
        <v>4.5</v>
      </c>
      <c r="F420" s="16">
        <v>8</v>
      </c>
      <c r="G420" s="16">
        <v>5</v>
      </c>
      <c r="H420" s="16">
        <v>0</v>
      </c>
      <c r="I420" s="16">
        <v>4</v>
      </c>
      <c r="J420" s="16" t="s">
        <v>28</v>
      </c>
      <c r="K420" s="16">
        <v>10</v>
      </c>
      <c r="L420" s="21"/>
    </row>
    <row r="421" spans="1:12">
      <c r="A421" s="18" t="s">
        <v>440</v>
      </c>
      <c r="B421" s="19">
        <v>20</v>
      </c>
      <c r="C421" s="16" t="str">
        <f t="shared" si="6"/>
        <v>16–20</v>
      </c>
      <c r="D421" s="19" t="s">
        <v>13</v>
      </c>
      <c r="E421" s="19">
        <v>5.6</v>
      </c>
      <c r="F421" s="19">
        <v>8</v>
      </c>
      <c r="G421" s="19">
        <v>8</v>
      </c>
      <c r="H421" s="19">
        <v>3</v>
      </c>
      <c r="I421" s="19">
        <v>5</v>
      </c>
      <c r="J421" s="19" t="s">
        <v>28</v>
      </c>
      <c r="K421" s="19">
        <v>8</v>
      </c>
      <c r="L421" s="20"/>
    </row>
    <row r="422" spans="1:12">
      <c r="A422" s="15" t="s">
        <v>441</v>
      </c>
      <c r="B422" s="16">
        <v>27</v>
      </c>
      <c r="C422" s="16" t="str">
        <f t="shared" si="6"/>
        <v>26–30</v>
      </c>
      <c r="D422" s="16" t="s">
        <v>16</v>
      </c>
      <c r="E422" s="16">
        <v>6.3</v>
      </c>
      <c r="F422" s="16">
        <v>4</v>
      </c>
      <c r="G422" s="16">
        <v>9</v>
      </c>
      <c r="H422" s="16">
        <v>5</v>
      </c>
      <c r="I422" s="16">
        <v>5</v>
      </c>
      <c r="J422" s="16" t="s">
        <v>22</v>
      </c>
      <c r="K422" s="16">
        <v>6</v>
      </c>
      <c r="L422" s="21"/>
    </row>
    <row r="423" spans="1:12">
      <c r="A423" s="18" t="s">
        <v>442</v>
      </c>
      <c r="B423" s="19">
        <v>40</v>
      </c>
      <c r="C423" s="16" t="str">
        <f t="shared" si="6"/>
        <v>36-40</v>
      </c>
      <c r="D423" s="19" t="s">
        <v>21</v>
      </c>
      <c r="E423" s="19">
        <v>5.8</v>
      </c>
      <c r="F423" s="19">
        <v>7</v>
      </c>
      <c r="G423" s="19">
        <v>8</v>
      </c>
      <c r="H423" s="19">
        <v>4</v>
      </c>
      <c r="I423" s="19">
        <v>4</v>
      </c>
      <c r="J423" s="19" t="s">
        <v>22</v>
      </c>
      <c r="K423" s="19">
        <v>8</v>
      </c>
      <c r="L423" s="20"/>
    </row>
    <row r="424" spans="1:12">
      <c r="A424" s="15" t="s">
        <v>443</v>
      </c>
      <c r="B424" s="16">
        <v>36</v>
      </c>
      <c r="C424" s="16" t="str">
        <f t="shared" si="6"/>
        <v>36-40</v>
      </c>
      <c r="D424" s="16" t="s">
        <v>13</v>
      </c>
      <c r="E424" s="16">
        <v>7.7</v>
      </c>
      <c r="F424" s="16">
        <v>5</v>
      </c>
      <c r="G424" s="16">
        <v>8</v>
      </c>
      <c r="H424" s="16">
        <v>4</v>
      </c>
      <c r="I424" s="16">
        <v>0</v>
      </c>
      <c r="J424" s="16" t="s">
        <v>17</v>
      </c>
      <c r="K424" s="16">
        <v>8</v>
      </c>
      <c r="L424" s="21"/>
    </row>
    <row r="425" spans="1:12">
      <c r="A425" s="18" t="s">
        <v>444</v>
      </c>
      <c r="B425" s="19">
        <v>38</v>
      </c>
      <c r="C425" s="16" t="str">
        <f t="shared" si="6"/>
        <v>36-40</v>
      </c>
      <c r="D425" s="19" t="s">
        <v>21</v>
      </c>
      <c r="E425" s="19">
        <v>6.2</v>
      </c>
      <c r="F425" s="19">
        <v>7</v>
      </c>
      <c r="G425" s="19">
        <v>6</v>
      </c>
      <c r="H425" s="19">
        <v>6</v>
      </c>
      <c r="I425" s="19">
        <v>5</v>
      </c>
      <c r="J425" s="19" t="s">
        <v>17</v>
      </c>
      <c r="K425" s="19">
        <v>10</v>
      </c>
      <c r="L425" s="20"/>
    </row>
    <row r="426" spans="1:12">
      <c r="A426" s="15" t="s">
        <v>445</v>
      </c>
      <c r="B426" s="16">
        <v>31</v>
      </c>
      <c r="C426" s="16" t="str">
        <f t="shared" si="6"/>
        <v>31-35</v>
      </c>
      <c r="D426" s="16" t="s">
        <v>21</v>
      </c>
      <c r="E426" s="16">
        <v>5</v>
      </c>
      <c r="F426" s="16">
        <v>7</v>
      </c>
      <c r="G426" s="16">
        <v>6</v>
      </c>
      <c r="H426" s="16">
        <v>3</v>
      </c>
      <c r="I426" s="16">
        <v>4</v>
      </c>
      <c r="J426" s="16" t="s">
        <v>22</v>
      </c>
      <c r="K426" s="16">
        <v>10</v>
      </c>
      <c r="L426" s="21"/>
    </row>
    <row r="427" spans="1:12">
      <c r="A427" s="18" t="s">
        <v>446</v>
      </c>
      <c r="B427" s="19">
        <v>29</v>
      </c>
      <c r="C427" s="16" t="str">
        <f t="shared" si="6"/>
        <v>26–30</v>
      </c>
      <c r="D427" s="19" t="s">
        <v>21</v>
      </c>
      <c r="E427" s="19">
        <v>6.2</v>
      </c>
      <c r="F427" s="19">
        <v>6</v>
      </c>
      <c r="G427" s="19">
        <v>9</v>
      </c>
      <c r="H427" s="19">
        <v>2</v>
      </c>
      <c r="I427" s="19">
        <v>1</v>
      </c>
      <c r="J427" s="19" t="s">
        <v>19</v>
      </c>
      <c r="K427" s="19">
        <v>8</v>
      </c>
      <c r="L427" s="20"/>
    </row>
    <row r="428" spans="1:12">
      <c r="A428" s="15" t="s">
        <v>447</v>
      </c>
      <c r="B428" s="16">
        <v>46</v>
      </c>
      <c r="C428" s="16" t="str">
        <f t="shared" si="6"/>
        <v>46+</v>
      </c>
      <c r="D428" s="16" t="s">
        <v>21</v>
      </c>
      <c r="E428" s="16">
        <v>6.4</v>
      </c>
      <c r="F428" s="16">
        <v>6</v>
      </c>
      <c r="G428" s="16">
        <v>8</v>
      </c>
      <c r="H428" s="16">
        <v>5</v>
      </c>
      <c r="I428" s="16">
        <v>4</v>
      </c>
      <c r="J428" s="16" t="s">
        <v>24</v>
      </c>
      <c r="K428" s="16">
        <v>8</v>
      </c>
      <c r="L428" s="21"/>
    </row>
    <row r="429" spans="1:12">
      <c r="A429" s="18" t="s">
        <v>448</v>
      </c>
      <c r="B429" s="19">
        <v>20</v>
      </c>
      <c r="C429" s="16" t="str">
        <f t="shared" si="6"/>
        <v>16–20</v>
      </c>
      <c r="D429" s="19" t="s">
        <v>13</v>
      </c>
      <c r="E429" s="19">
        <v>3.2</v>
      </c>
      <c r="F429" s="19">
        <v>7</v>
      </c>
      <c r="G429" s="19">
        <v>5</v>
      </c>
      <c r="H429" s="19">
        <v>5</v>
      </c>
      <c r="I429" s="19">
        <v>1</v>
      </c>
      <c r="J429" s="19" t="s">
        <v>24</v>
      </c>
      <c r="K429" s="19">
        <v>9</v>
      </c>
      <c r="L429" s="20"/>
    </row>
    <row r="430" spans="1:12">
      <c r="A430" s="15" t="s">
        <v>449</v>
      </c>
      <c r="B430" s="16">
        <v>38</v>
      </c>
      <c r="C430" s="16" t="str">
        <f t="shared" si="6"/>
        <v>36-40</v>
      </c>
      <c r="D430" s="16" t="s">
        <v>13</v>
      </c>
      <c r="E430" s="16">
        <v>7.6</v>
      </c>
      <c r="F430" s="16">
        <v>6</v>
      </c>
      <c r="G430" s="16">
        <v>9</v>
      </c>
      <c r="H430" s="16">
        <v>4</v>
      </c>
      <c r="I430" s="16">
        <v>3</v>
      </c>
      <c r="J430" s="16" t="s">
        <v>24</v>
      </c>
      <c r="K430" s="16">
        <v>8</v>
      </c>
      <c r="L430" s="21"/>
    </row>
    <row r="431" spans="1:12">
      <c r="A431" s="18" t="s">
        <v>450</v>
      </c>
      <c r="B431" s="19">
        <v>44</v>
      </c>
      <c r="C431" s="16" t="str">
        <f t="shared" si="6"/>
        <v>41-45</v>
      </c>
      <c r="D431" s="19" t="s">
        <v>13</v>
      </c>
      <c r="E431" s="19">
        <v>5</v>
      </c>
      <c r="F431" s="19">
        <v>6</v>
      </c>
      <c r="G431" s="19">
        <v>5</v>
      </c>
      <c r="H431" s="19">
        <v>3</v>
      </c>
      <c r="I431" s="19">
        <v>1</v>
      </c>
      <c r="J431" s="19" t="s">
        <v>24</v>
      </c>
      <c r="K431" s="19">
        <v>10</v>
      </c>
      <c r="L431" s="20"/>
    </row>
    <row r="432" spans="1:12">
      <c r="A432" s="15" t="s">
        <v>451</v>
      </c>
      <c r="B432" s="16">
        <v>26</v>
      </c>
      <c r="C432" s="16" t="str">
        <f t="shared" si="6"/>
        <v>26–30</v>
      </c>
      <c r="D432" s="16" t="s">
        <v>21</v>
      </c>
      <c r="E432" s="16">
        <v>5</v>
      </c>
      <c r="F432" s="16">
        <v>6</v>
      </c>
      <c r="G432" s="16">
        <v>6</v>
      </c>
      <c r="H432" s="16">
        <v>3</v>
      </c>
      <c r="I432" s="16">
        <v>1</v>
      </c>
      <c r="J432" s="16" t="s">
        <v>22</v>
      </c>
      <c r="K432" s="16">
        <v>10</v>
      </c>
      <c r="L432" s="21"/>
    </row>
    <row r="433" spans="1:12">
      <c r="A433" s="18" t="s">
        <v>452</v>
      </c>
      <c r="B433" s="19">
        <v>33</v>
      </c>
      <c r="C433" s="16" t="str">
        <f t="shared" si="6"/>
        <v>31-35</v>
      </c>
      <c r="D433" s="19" t="s">
        <v>21</v>
      </c>
      <c r="E433" s="19">
        <v>6.9</v>
      </c>
      <c r="F433" s="19">
        <v>6</v>
      </c>
      <c r="G433" s="19">
        <v>7</v>
      </c>
      <c r="H433" s="19">
        <v>0</v>
      </c>
      <c r="I433" s="19">
        <v>4</v>
      </c>
      <c r="J433" s="19" t="s">
        <v>28</v>
      </c>
      <c r="K433" s="19">
        <v>7</v>
      </c>
      <c r="L433" s="20"/>
    </row>
    <row r="434" spans="1:12">
      <c r="A434" s="15" t="s">
        <v>453</v>
      </c>
      <c r="B434" s="16">
        <v>27</v>
      </c>
      <c r="C434" s="16" t="str">
        <f t="shared" si="6"/>
        <v>26–30</v>
      </c>
      <c r="D434" s="16" t="s">
        <v>13</v>
      </c>
      <c r="E434" s="16">
        <v>6.8</v>
      </c>
      <c r="F434" s="16">
        <v>5</v>
      </c>
      <c r="G434" s="16">
        <v>8</v>
      </c>
      <c r="H434" s="16">
        <v>5</v>
      </c>
      <c r="I434" s="16">
        <v>4</v>
      </c>
      <c r="J434" s="16" t="s">
        <v>22</v>
      </c>
      <c r="K434" s="16">
        <v>7</v>
      </c>
      <c r="L434" s="21"/>
    </row>
    <row r="435" spans="1:12">
      <c r="A435" s="18" t="s">
        <v>454</v>
      </c>
      <c r="B435" s="19">
        <v>24</v>
      </c>
      <c r="C435" s="16" t="str">
        <f t="shared" si="6"/>
        <v>21–25</v>
      </c>
      <c r="D435" s="19" t="s">
        <v>13</v>
      </c>
      <c r="E435" s="19">
        <v>4.2</v>
      </c>
      <c r="F435" s="19">
        <v>8</v>
      </c>
      <c r="G435" s="19">
        <v>7</v>
      </c>
      <c r="H435" s="19">
        <v>5</v>
      </c>
      <c r="I435" s="19">
        <v>3</v>
      </c>
      <c r="J435" s="19" t="s">
        <v>24</v>
      </c>
      <c r="K435" s="19">
        <v>7</v>
      </c>
      <c r="L435" s="20"/>
    </row>
    <row r="436" spans="1:12">
      <c r="A436" s="15" t="s">
        <v>455</v>
      </c>
      <c r="B436" s="16">
        <v>25</v>
      </c>
      <c r="C436" s="16" t="str">
        <f t="shared" si="6"/>
        <v>21–25</v>
      </c>
      <c r="D436" s="16" t="s">
        <v>21</v>
      </c>
      <c r="E436" s="16">
        <v>6.9</v>
      </c>
      <c r="F436" s="16">
        <v>7</v>
      </c>
      <c r="G436" s="16">
        <v>7</v>
      </c>
      <c r="H436" s="16">
        <v>0</v>
      </c>
      <c r="I436" s="16">
        <v>2</v>
      </c>
      <c r="J436" s="16" t="s">
        <v>22</v>
      </c>
      <c r="K436" s="16">
        <v>9</v>
      </c>
      <c r="L436" s="21"/>
    </row>
    <row r="437" spans="1:12">
      <c r="A437" s="18" t="s">
        <v>456</v>
      </c>
      <c r="B437" s="19">
        <v>32</v>
      </c>
      <c r="C437" s="16" t="str">
        <f t="shared" si="6"/>
        <v>31-35</v>
      </c>
      <c r="D437" s="19" t="s">
        <v>16</v>
      </c>
      <c r="E437" s="19">
        <v>4.5</v>
      </c>
      <c r="F437" s="19">
        <v>8</v>
      </c>
      <c r="G437" s="19">
        <v>5</v>
      </c>
      <c r="H437" s="19">
        <v>5</v>
      </c>
      <c r="I437" s="19">
        <v>0</v>
      </c>
      <c r="J437" s="19" t="s">
        <v>24</v>
      </c>
      <c r="K437" s="19">
        <v>10</v>
      </c>
      <c r="L437" s="20"/>
    </row>
    <row r="438" spans="1:12">
      <c r="A438" s="15" t="s">
        <v>457</v>
      </c>
      <c r="B438" s="16">
        <v>22</v>
      </c>
      <c r="C438" s="16" t="str">
        <f t="shared" si="6"/>
        <v>21–25</v>
      </c>
      <c r="D438" s="16" t="s">
        <v>21</v>
      </c>
      <c r="E438" s="16">
        <v>8.8000000000000007</v>
      </c>
      <c r="F438" s="16">
        <v>2</v>
      </c>
      <c r="G438" s="16">
        <v>9</v>
      </c>
      <c r="H438" s="16">
        <v>4</v>
      </c>
      <c r="I438" s="16">
        <v>2</v>
      </c>
      <c r="J438" s="16" t="s">
        <v>14</v>
      </c>
      <c r="K438" s="16">
        <v>7</v>
      </c>
      <c r="L438" s="21"/>
    </row>
    <row r="439" spans="1:12">
      <c r="A439" s="18" t="s">
        <v>458</v>
      </c>
      <c r="B439" s="19">
        <v>28</v>
      </c>
      <c r="C439" s="16" t="str">
        <f t="shared" si="6"/>
        <v>26–30</v>
      </c>
      <c r="D439" s="19" t="s">
        <v>13</v>
      </c>
      <c r="E439" s="19">
        <v>4</v>
      </c>
      <c r="F439" s="19">
        <v>7</v>
      </c>
      <c r="G439" s="19">
        <v>5</v>
      </c>
      <c r="H439" s="19">
        <v>1</v>
      </c>
      <c r="I439" s="19">
        <v>3</v>
      </c>
      <c r="J439" s="19" t="s">
        <v>17</v>
      </c>
      <c r="K439" s="19">
        <v>9</v>
      </c>
      <c r="L439" s="20"/>
    </row>
    <row r="440" spans="1:12">
      <c r="A440" s="15" t="s">
        <v>459</v>
      </c>
      <c r="B440" s="16">
        <v>24</v>
      </c>
      <c r="C440" s="16" t="str">
        <f t="shared" si="6"/>
        <v>21–25</v>
      </c>
      <c r="D440" s="16" t="s">
        <v>13</v>
      </c>
      <c r="E440" s="16">
        <v>5.9</v>
      </c>
      <c r="F440" s="16">
        <v>7</v>
      </c>
      <c r="G440" s="16">
        <v>6</v>
      </c>
      <c r="H440" s="16">
        <v>1</v>
      </c>
      <c r="I440" s="16">
        <v>2</v>
      </c>
      <c r="J440" s="16" t="s">
        <v>28</v>
      </c>
      <c r="K440" s="16">
        <v>8</v>
      </c>
      <c r="L440" s="21"/>
    </row>
    <row r="441" spans="1:12">
      <c r="A441" s="18" t="s">
        <v>460</v>
      </c>
      <c r="B441" s="19">
        <v>42</v>
      </c>
      <c r="C441" s="16" t="str">
        <f t="shared" si="6"/>
        <v>41-45</v>
      </c>
      <c r="D441" s="19" t="s">
        <v>13</v>
      </c>
      <c r="E441" s="19">
        <v>4.0999999999999996</v>
      </c>
      <c r="F441" s="19">
        <v>6</v>
      </c>
      <c r="G441" s="19">
        <v>6</v>
      </c>
      <c r="H441" s="19">
        <v>4</v>
      </c>
      <c r="I441" s="19">
        <v>2</v>
      </c>
      <c r="J441" s="19" t="s">
        <v>14</v>
      </c>
      <c r="K441" s="19">
        <v>9</v>
      </c>
      <c r="L441" s="20"/>
    </row>
    <row r="442" spans="1:12">
      <c r="A442" s="15" t="s">
        <v>461</v>
      </c>
      <c r="B442" s="16">
        <v>17</v>
      </c>
      <c r="C442" s="16" t="str">
        <f t="shared" si="6"/>
        <v>16–20</v>
      </c>
      <c r="D442" s="16" t="s">
        <v>21</v>
      </c>
      <c r="E442" s="16">
        <v>9.5</v>
      </c>
      <c r="F442" s="16">
        <v>4</v>
      </c>
      <c r="G442" s="16">
        <v>9</v>
      </c>
      <c r="H442" s="16">
        <v>2</v>
      </c>
      <c r="I442" s="16">
        <v>2</v>
      </c>
      <c r="J442" s="16" t="s">
        <v>19</v>
      </c>
      <c r="K442" s="16">
        <v>4</v>
      </c>
      <c r="L442" s="21"/>
    </row>
    <row r="443" spans="1:12">
      <c r="A443" s="18" t="s">
        <v>462</v>
      </c>
      <c r="B443" s="19">
        <v>20</v>
      </c>
      <c r="C443" s="16" t="str">
        <f t="shared" si="6"/>
        <v>16–20</v>
      </c>
      <c r="D443" s="19" t="s">
        <v>13</v>
      </c>
      <c r="E443" s="19">
        <v>3.3</v>
      </c>
      <c r="F443" s="19">
        <v>8</v>
      </c>
      <c r="G443" s="19">
        <v>4</v>
      </c>
      <c r="H443" s="19">
        <v>7</v>
      </c>
      <c r="I443" s="19">
        <v>2</v>
      </c>
      <c r="J443" s="19" t="s">
        <v>22</v>
      </c>
      <c r="K443" s="19">
        <v>10</v>
      </c>
      <c r="L443" s="20"/>
    </row>
    <row r="444" spans="1:12">
      <c r="A444" s="15" t="s">
        <v>463</v>
      </c>
      <c r="B444" s="16">
        <v>44</v>
      </c>
      <c r="C444" s="16" t="str">
        <f t="shared" si="6"/>
        <v>41-45</v>
      </c>
      <c r="D444" s="16" t="s">
        <v>21</v>
      </c>
      <c r="E444" s="16">
        <v>6.4</v>
      </c>
      <c r="F444" s="16">
        <v>5</v>
      </c>
      <c r="G444" s="16">
        <v>6</v>
      </c>
      <c r="H444" s="16">
        <v>5</v>
      </c>
      <c r="I444" s="16">
        <v>3</v>
      </c>
      <c r="J444" s="16" t="s">
        <v>19</v>
      </c>
      <c r="K444" s="16">
        <v>6</v>
      </c>
      <c r="L444" s="21"/>
    </row>
    <row r="445" spans="1:12">
      <c r="A445" s="18" t="s">
        <v>464</v>
      </c>
      <c r="B445" s="19">
        <v>34</v>
      </c>
      <c r="C445" s="16" t="str">
        <f t="shared" si="6"/>
        <v>31-35</v>
      </c>
      <c r="D445" s="19" t="s">
        <v>13</v>
      </c>
      <c r="E445" s="19">
        <v>4.2</v>
      </c>
      <c r="F445" s="19">
        <v>8</v>
      </c>
      <c r="G445" s="19">
        <v>4</v>
      </c>
      <c r="H445" s="19">
        <v>4</v>
      </c>
      <c r="I445" s="19">
        <v>2</v>
      </c>
      <c r="J445" s="19" t="s">
        <v>22</v>
      </c>
      <c r="K445" s="19">
        <v>10</v>
      </c>
      <c r="L445" s="20"/>
    </row>
    <row r="446" spans="1:12">
      <c r="A446" s="15" t="s">
        <v>465</v>
      </c>
      <c r="B446" s="16">
        <v>23</v>
      </c>
      <c r="C446" s="16" t="str">
        <f t="shared" si="6"/>
        <v>21–25</v>
      </c>
      <c r="D446" s="16" t="s">
        <v>21</v>
      </c>
      <c r="E446" s="16">
        <v>4.9000000000000004</v>
      </c>
      <c r="F446" s="16">
        <v>7</v>
      </c>
      <c r="G446" s="16">
        <v>7</v>
      </c>
      <c r="H446" s="16">
        <v>4</v>
      </c>
      <c r="I446" s="16">
        <v>5</v>
      </c>
      <c r="J446" s="16" t="s">
        <v>17</v>
      </c>
      <c r="K446" s="16">
        <v>7</v>
      </c>
      <c r="L446" s="21"/>
    </row>
    <row r="447" spans="1:12">
      <c r="A447" s="18" t="s">
        <v>466</v>
      </c>
      <c r="B447" s="19">
        <v>16</v>
      </c>
      <c r="C447" s="16" t="str">
        <f t="shared" si="6"/>
        <v>16–20</v>
      </c>
      <c r="D447" s="19" t="s">
        <v>21</v>
      </c>
      <c r="E447" s="19">
        <v>6.3</v>
      </c>
      <c r="F447" s="19">
        <v>6</v>
      </c>
      <c r="G447" s="19">
        <v>7</v>
      </c>
      <c r="H447" s="19">
        <v>6</v>
      </c>
      <c r="I447" s="19">
        <v>0</v>
      </c>
      <c r="J447" s="19" t="s">
        <v>14</v>
      </c>
      <c r="K447" s="19">
        <v>8</v>
      </c>
      <c r="L447" s="20"/>
    </row>
    <row r="448" spans="1:12">
      <c r="A448" s="15" t="s">
        <v>467</v>
      </c>
      <c r="B448" s="16">
        <v>37</v>
      </c>
      <c r="C448" s="16" t="str">
        <f t="shared" si="6"/>
        <v>36-40</v>
      </c>
      <c r="D448" s="16" t="s">
        <v>21</v>
      </c>
      <c r="E448" s="16">
        <v>7.7</v>
      </c>
      <c r="F448" s="16">
        <v>4</v>
      </c>
      <c r="G448" s="16">
        <v>8</v>
      </c>
      <c r="H448" s="16">
        <v>5</v>
      </c>
      <c r="I448" s="16">
        <v>2</v>
      </c>
      <c r="J448" s="16" t="s">
        <v>17</v>
      </c>
      <c r="K448" s="16">
        <v>8</v>
      </c>
      <c r="L448" s="21"/>
    </row>
    <row r="449" spans="1:12">
      <c r="A449" s="18" t="s">
        <v>468</v>
      </c>
      <c r="B449" s="19">
        <v>32</v>
      </c>
      <c r="C449" s="16" t="str">
        <f t="shared" si="6"/>
        <v>31-35</v>
      </c>
      <c r="D449" s="19" t="s">
        <v>13</v>
      </c>
      <c r="E449" s="19">
        <v>8.4</v>
      </c>
      <c r="F449" s="19">
        <v>5</v>
      </c>
      <c r="G449" s="19">
        <v>9</v>
      </c>
      <c r="H449" s="19">
        <v>4</v>
      </c>
      <c r="I449" s="19">
        <v>1</v>
      </c>
      <c r="J449" s="19" t="s">
        <v>24</v>
      </c>
      <c r="K449" s="19">
        <v>7</v>
      </c>
      <c r="L449" s="20"/>
    </row>
    <row r="450" spans="1:12">
      <c r="A450" s="15" t="s">
        <v>469</v>
      </c>
      <c r="B450" s="16">
        <v>22</v>
      </c>
      <c r="C450" s="16" t="str">
        <f t="shared" si="6"/>
        <v>21–25</v>
      </c>
      <c r="D450" s="16" t="s">
        <v>13</v>
      </c>
      <c r="E450" s="16">
        <v>2.7</v>
      </c>
      <c r="F450" s="16">
        <v>6</v>
      </c>
      <c r="G450" s="16">
        <v>6</v>
      </c>
      <c r="H450" s="16">
        <v>1</v>
      </c>
      <c r="I450" s="16">
        <v>3</v>
      </c>
      <c r="J450" s="16" t="s">
        <v>17</v>
      </c>
      <c r="K450" s="16">
        <v>8</v>
      </c>
      <c r="L450" s="21"/>
    </row>
    <row r="451" spans="1:12">
      <c r="A451" s="18" t="s">
        <v>470</v>
      </c>
      <c r="B451" s="19">
        <v>40</v>
      </c>
      <c r="C451" s="16" t="str">
        <f t="shared" ref="C451:C501" si="7">IF(B451&lt;=20,"16–20",IF(B451&lt;=25,"21–25",IF(B451&lt;=30,"26–30",IF(B451&lt;=35,"31-35",IF(B451&lt;=40,"36-40",IF(B451&lt;=45,"41-45","46+"))))))</f>
        <v>36-40</v>
      </c>
      <c r="D451" s="19" t="s">
        <v>13</v>
      </c>
      <c r="E451" s="19">
        <v>6</v>
      </c>
      <c r="F451" s="19">
        <v>4</v>
      </c>
      <c r="G451" s="19">
        <v>6</v>
      </c>
      <c r="H451" s="19">
        <v>9</v>
      </c>
      <c r="I451" s="19">
        <v>3</v>
      </c>
      <c r="J451" s="19" t="s">
        <v>17</v>
      </c>
      <c r="K451" s="19">
        <v>8</v>
      </c>
      <c r="L451" s="20"/>
    </row>
    <row r="452" spans="1:12">
      <c r="A452" s="15" t="s">
        <v>471</v>
      </c>
      <c r="B452" s="16">
        <v>19</v>
      </c>
      <c r="C452" s="16" t="str">
        <f t="shared" si="7"/>
        <v>16–20</v>
      </c>
      <c r="D452" s="16" t="s">
        <v>21</v>
      </c>
      <c r="E452" s="16">
        <v>8.1</v>
      </c>
      <c r="F452" s="16">
        <v>5</v>
      </c>
      <c r="G452" s="16">
        <v>9</v>
      </c>
      <c r="H452" s="16">
        <v>1</v>
      </c>
      <c r="I452" s="16">
        <v>5</v>
      </c>
      <c r="J452" s="16" t="s">
        <v>24</v>
      </c>
      <c r="K452" s="16">
        <v>7</v>
      </c>
      <c r="L452" s="21"/>
    </row>
    <row r="453" spans="1:12">
      <c r="A453" s="18" t="s">
        <v>472</v>
      </c>
      <c r="B453" s="19">
        <v>21</v>
      </c>
      <c r="C453" s="16" t="str">
        <f t="shared" si="7"/>
        <v>21–25</v>
      </c>
      <c r="D453" s="19" t="s">
        <v>21</v>
      </c>
      <c r="E453" s="19">
        <v>2.5</v>
      </c>
      <c r="F453" s="19">
        <v>9</v>
      </c>
      <c r="G453" s="19">
        <v>3</v>
      </c>
      <c r="H453" s="19">
        <v>2</v>
      </c>
      <c r="I453" s="19">
        <v>5</v>
      </c>
      <c r="J453" s="19" t="s">
        <v>22</v>
      </c>
      <c r="K453" s="19">
        <v>10</v>
      </c>
      <c r="L453" s="20"/>
    </row>
    <row r="454" spans="1:12">
      <c r="A454" s="15" t="s">
        <v>473</v>
      </c>
      <c r="B454" s="16">
        <v>46</v>
      </c>
      <c r="C454" s="16" t="str">
        <f t="shared" si="7"/>
        <v>46+</v>
      </c>
      <c r="D454" s="16" t="s">
        <v>21</v>
      </c>
      <c r="E454" s="16">
        <v>6.1</v>
      </c>
      <c r="F454" s="16">
        <v>6</v>
      </c>
      <c r="G454" s="16">
        <v>8</v>
      </c>
      <c r="H454" s="16">
        <v>0</v>
      </c>
      <c r="I454" s="16">
        <v>1</v>
      </c>
      <c r="J454" s="16" t="s">
        <v>24</v>
      </c>
      <c r="K454" s="16">
        <v>6</v>
      </c>
      <c r="L454" s="21"/>
    </row>
    <row r="455" spans="1:12">
      <c r="A455" s="18" t="s">
        <v>474</v>
      </c>
      <c r="B455" s="19">
        <v>34</v>
      </c>
      <c r="C455" s="16" t="str">
        <f t="shared" si="7"/>
        <v>31-35</v>
      </c>
      <c r="D455" s="19" t="s">
        <v>21</v>
      </c>
      <c r="E455" s="19">
        <v>5.5</v>
      </c>
      <c r="F455" s="19">
        <v>6</v>
      </c>
      <c r="G455" s="19">
        <v>5</v>
      </c>
      <c r="H455" s="19">
        <v>4</v>
      </c>
      <c r="I455" s="19">
        <v>3</v>
      </c>
      <c r="J455" s="19" t="s">
        <v>14</v>
      </c>
      <c r="K455" s="19">
        <v>10</v>
      </c>
      <c r="L455" s="20"/>
    </row>
    <row r="456" spans="1:12">
      <c r="A456" s="15" t="s">
        <v>475</v>
      </c>
      <c r="B456" s="16">
        <v>42</v>
      </c>
      <c r="C456" s="16" t="str">
        <f t="shared" si="7"/>
        <v>41-45</v>
      </c>
      <c r="D456" s="16" t="s">
        <v>21</v>
      </c>
      <c r="E456" s="16">
        <v>6.2</v>
      </c>
      <c r="F456" s="16">
        <v>6</v>
      </c>
      <c r="G456" s="16">
        <v>6</v>
      </c>
      <c r="H456" s="16">
        <v>3</v>
      </c>
      <c r="I456" s="16">
        <v>3</v>
      </c>
      <c r="J456" s="16" t="s">
        <v>17</v>
      </c>
      <c r="K456" s="16">
        <v>6</v>
      </c>
      <c r="L456" s="21"/>
    </row>
    <row r="457" spans="1:12">
      <c r="A457" s="18" t="s">
        <v>476</v>
      </c>
      <c r="B457" s="19">
        <v>25</v>
      </c>
      <c r="C457" s="16" t="str">
        <f t="shared" si="7"/>
        <v>21–25</v>
      </c>
      <c r="D457" s="19" t="s">
        <v>13</v>
      </c>
      <c r="E457" s="19">
        <v>4.0999999999999996</v>
      </c>
      <c r="F457" s="19">
        <v>6</v>
      </c>
      <c r="G457" s="19">
        <v>5</v>
      </c>
      <c r="H457" s="19">
        <v>5</v>
      </c>
      <c r="I457" s="19">
        <v>1</v>
      </c>
      <c r="J457" s="19" t="s">
        <v>24</v>
      </c>
      <c r="K457" s="19">
        <v>9</v>
      </c>
      <c r="L457" s="20"/>
    </row>
    <row r="458" spans="1:12">
      <c r="A458" s="15" t="s">
        <v>477</v>
      </c>
      <c r="B458" s="16">
        <v>41</v>
      </c>
      <c r="C458" s="16" t="str">
        <f t="shared" si="7"/>
        <v>41-45</v>
      </c>
      <c r="D458" s="16" t="s">
        <v>21</v>
      </c>
      <c r="E458" s="16">
        <v>2.9</v>
      </c>
      <c r="F458" s="16">
        <v>8</v>
      </c>
      <c r="G458" s="16">
        <v>3</v>
      </c>
      <c r="H458" s="16">
        <v>0</v>
      </c>
      <c r="I458" s="16">
        <v>3</v>
      </c>
      <c r="J458" s="16" t="s">
        <v>17</v>
      </c>
      <c r="K458" s="16">
        <v>10</v>
      </c>
      <c r="L458" s="21"/>
    </row>
    <row r="459" spans="1:12">
      <c r="A459" s="18" t="s">
        <v>478</v>
      </c>
      <c r="B459" s="19">
        <v>34</v>
      </c>
      <c r="C459" s="16" t="str">
        <f t="shared" si="7"/>
        <v>31-35</v>
      </c>
      <c r="D459" s="19" t="s">
        <v>13</v>
      </c>
      <c r="E459" s="19">
        <v>2.1</v>
      </c>
      <c r="F459" s="19">
        <v>9</v>
      </c>
      <c r="G459" s="19">
        <v>4</v>
      </c>
      <c r="H459" s="19">
        <v>5</v>
      </c>
      <c r="I459" s="19">
        <v>2</v>
      </c>
      <c r="J459" s="19" t="s">
        <v>14</v>
      </c>
      <c r="K459" s="19">
        <v>10</v>
      </c>
      <c r="L459" s="20"/>
    </row>
    <row r="460" spans="1:12">
      <c r="A460" s="15" t="s">
        <v>479</v>
      </c>
      <c r="B460" s="16">
        <v>18</v>
      </c>
      <c r="C460" s="16" t="str">
        <f t="shared" si="7"/>
        <v>16–20</v>
      </c>
      <c r="D460" s="16" t="s">
        <v>13</v>
      </c>
      <c r="E460" s="16">
        <v>7.3</v>
      </c>
      <c r="F460" s="16">
        <v>5</v>
      </c>
      <c r="G460" s="16">
        <v>8</v>
      </c>
      <c r="H460" s="16">
        <v>1</v>
      </c>
      <c r="I460" s="16">
        <v>1</v>
      </c>
      <c r="J460" s="16" t="s">
        <v>19</v>
      </c>
      <c r="K460" s="16">
        <v>7</v>
      </c>
      <c r="L460" s="21"/>
    </row>
    <row r="461" spans="1:12">
      <c r="A461" s="18" t="s">
        <v>480</v>
      </c>
      <c r="B461" s="19">
        <v>28</v>
      </c>
      <c r="C461" s="16" t="str">
        <f t="shared" si="7"/>
        <v>26–30</v>
      </c>
      <c r="D461" s="19" t="s">
        <v>21</v>
      </c>
      <c r="E461" s="19">
        <v>7.5</v>
      </c>
      <c r="F461" s="19">
        <v>6</v>
      </c>
      <c r="G461" s="19">
        <v>8</v>
      </c>
      <c r="H461" s="19">
        <v>3</v>
      </c>
      <c r="I461" s="19">
        <v>2</v>
      </c>
      <c r="J461" s="19" t="s">
        <v>14</v>
      </c>
      <c r="K461" s="19">
        <v>6</v>
      </c>
      <c r="L461" s="20"/>
    </row>
    <row r="462" spans="1:12">
      <c r="A462" s="15" t="s">
        <v>481</v>
      </c>
      <c r="B462" s="16">
        <v>43</v>
      </c>
      <c r="C462" s="16" t="str">
        <f t="shared" si="7"/>
        <v>41-45</v>
      </c>
      <c r="D462" s="16" t="s">
        <v>13</v>
      </c>
      <c r="E462" s="16">
        <v>6</v>
      </c>
      <c r="F462" s="16">
        <v>6</v>
      </c>
      <c r="G462" s="16">
        <v>5</v>
      </c>
      <c r="H462" s="16">
        <v>5</v>
      </c>
      <c r="I462" s="16">
        <v>1</v>
      </c>
      <c r="J462" s="16" t="s">
        <v>28</v>
      </c>
      <c r="K462" s="16">
        <v>9</v>
      </c>
      <c r="L462" s="21"/>
    </row>
    <row r="463" spans="1:12">
      <c r="A463" s="18" t="s">
        <v>482</v>
      </c>
      <c r="B463" s="19">
        <v>35</v>
      </c>
      <c r="C463" s="16" t="str">
        <f t="shared" si="7"/>
        <v>31-35</v>
      </c>
      <c r="D463" s="19" t="s">
        <v>13</v>
      </c>
      <c r="E463" s="19">
        <v>4.5</v>
      </c>
      <c r="F463" s="19">
        <v>7</v>
      </c>
      <c r="G463" s="19">
        <v>8</v>
      </c>
      <c r="H463" s="19">
        <v>4</v>
      </c>
      <c r="I463" s="19">
        <v>4</v>
      </c>
      <c r="J463" s="19" t="s">
        <v>28</v>
      </c>
      <c r="K463" s="19">
        <v>8</v>
      </c>
      <c r="L463" s="20"/>
    </row>
    <row r="464" spans="1:12">
      <c r="A464" s="15" t="s">
        <v>483</v>
      </c>
      <c r="B464" s="16">
        <v>43</v>
      </c>
      <c r="C464" s="16" t="str">
        <f t="shared" si="7"/>
        <v>41-45</v>
      </c>
      <c r="D464" s="16" t="s">
        <v>21</v>
      </c>
      <c r="E464" s="16">
        <v>2.6</v>
      </c>
      <c r="F464" s="16">
        <v>9</v>
      </c>
      <c r="G464" s="16">
        <v>5</v>
      </c>
      <c r="H464" s="16">
        <v>4</v>
      </c>
      <c r="I464" s="16">
        <v>5</v>
      </c>
      <c r="J464" s="16" t="s">
        <v>28</v>
      </c>
      <c r="K464" s="16">
        <v>10</v>
      </c>
      <c r="L464" s="21"/>
    </row>
    <row r="465" spans="1:12">
      <c r="A465" s="18" t="s">
        <v>484</v>
      </c>
      <c r="B465" s="19">
        <v>23</v>
      </c>
      <c r="C465" s="16" t="str">
        <f t="shared" si="7"/>
        <v>21–25</v>
      </c>
      <c r="D465" s="19" t="s">
        <v>13</v>
      </c>
      <c r="E465" s="19">
        <v>6.5</v>
      </c>
      <c r="F465" s="19">
        <v>5</v>
      </c>
      <c r="G465" s="19">
        <v>10</v>
      </c>
      <c r="H465" s="19">
        <v>5</v>
      </c>
      <c r="I465" s="19">
        <v>3</v>
      </c>
      <c r="J465" s="19" t="s">
        <v>17</v>
      </c>
      <c r="K465" s="19">
        <v>5</v>
      </c>
      <c r="L465" s="20"/>
    </row>
    <row r="466" spans="1:12">
      <c r="A466" s="15" t="s">
        <v>485</v>
      </c>
      <c r="B466" s="16">
        <v>16</v>
      </c>
      <c r="C466" s="16" t="str">
        <f t="shared" si="7"/>
        <v>16–20</v>
      </c>
      <c r="D466" s="16" t="s">
        <v>21</v>
      </c>
      <c r="E466" s="16">
        <v>3.5</v>
      </c>
      <c r="F466" s="16">
        <v>8</v>
      </c>
      <c r="G466" s="16">
        <v>5</v>
      </c>
      <c r="H466" s="16">
        <v>4</v>
      </c>
      <c r="I466" s="16">
        <v>3</v>
      </c>
      <c r="J466" s="16" t="s">
        <v>22</v>
      </c>
      <c r="K466" s="16">
        <v>10</v>
      </c>
      <c r="L466" s="21"/>
    </row>
    <row r="467" spans="1:12">
      <c r="A467" s="18" t="s">
        <v>486</v>
      </c>
      <c r="B467" s="19">
        <v>18</v>
      </c>
      <c r="C467" s="16" t="str">
        <f t="shared" si="7"/>
        <v>16–20</v>
      </c>
      <c r="D467" s="19" t="s">
        <v>13</v>
      </c>
      <c r="E467" s="19">
        <v>4.2</v>
      </c>
      <c r="F467" s="19">
        <v>7</v>
      </c>
      <c r="G467" s="19">
        <v>7</v>
      </c>
      <c r="H467" s="19">
        <v>2</v>
      </c>
      <c r="I467" s="19">
        <v>3</v>
      </c>
      <c r="J467" s="19" t="s">
        <v>22</v>
      </c>
      <c r="K467" s="19">
        <v>10</v>
      </c>
      <c r="L467" s="20"/>
    </row>
    <row r="468" spans="1:12">
      <c r="A468" s="15" t="s">
        <v>487</v>
      </c>
      <c r="B468" s="16">
        <v>28</v>
      </c>
      <c r="C468" s="16" t="str">
        <f t="shared" si="7"/>
        <v>26–30</v>
      </c>
      <c r="D468" s="16" t="s">
        <v>13</v>
      </c>
      <c r="E468" s="16">
        <v>4.4000000000000004</v>
      </c>
      <c r="F468" s="16">
        <v>7</v>
      </c>
      <c r="G468" s="16">
        <v>7</v>
      </c>
      <c r="H468" s="16">
        <v>3</v>
      </c>
      <c r="I468" s="16">
        <v>4</v>
      </c>
      <c r="J468" s="16" t="s">
        <v>22</v>
      </c>
      <c r="K468" s="16">
        <v>8</v>
      </c>
      <c r="L468" s="21"/>
    </row>
    <row r="469" spans="1:12">
      <c r="A469" s="18" t="s">
        <v>488</v>
      </c>
      <c r="B469" s="19">
        <v>43</v>
      </c>
      <c r="C469" s="16" t="str">
        <f t="shared" si="7"/>
        <v>41-45</v>
      </c>
      <c r="D469" s="19" t="s">
        <v>13</v>
      </c>
      <c r="E469" s="19">
        <v>5.0999999999999996</v>
      </c>
      <c r="F469" s="19">
        <v>6</v>
      </c>
      <c r="G469" s="19">
        <v>6</v>
      </c>
      <c r="H469" s="19">
        <v>3</v>
      </c>
      <c r="I469" s="19">
        <v>4</v>
      </c>
      <c r="J469" s="19" t="s">
        <v>17</v>
      </c>
      <c r="K469" s="19">
        <v>9</v>
      </c>
      <c r="L469" s="20"/>
    </row>
    <row r="470" spans="1:12">
      <c r="A470" s="15" t="s">
        <v>489</v>
      </c>
      <c r="B470" s="16">
        <v>40</v>
      </c>
      <c r="C470" s="16" t="str">
        <f t="shared" si="7"/>
        <v>36-40</v>
      </c>
      <c r="D470" s="16" t="s">
        <v>13</v>
      </c>
      <c r="E470" s="16">
        <v>4.0999999999999996</v>
      </c>
      <c r="F470" s="16">
        <v>6</v>
      </c>
      <c r="G470" s="16">
        <v>7</v>
      </c>
      <c r="H470" s="16">
        <v>1</v>
      </c>
      <c r="I470" s="16">
        <v>2</v>
      </c>
      <c r="J470" s="16" t="s">
        <v>14</v>
      </c>
      <c r="K470" s="16">
        <v>10</v>
      </c>
      <c r="L470" s="21"/>
    </row>
    <row r="471" spans="1:12">
      <c r="A471" s="18" t="s">
        <v>490</v>
      </c>
      <c r="B471" s="19">
        <v>48</v>
      </c>
      <c r="C471" s="16" t="str">
        <f t="shared" si="7"/>
        <v>46+</v>
      </c>
      <c r="D471" s="19" t="s">
        <v>21</v>
      </c>
      <c r="E471" s="19">
        <v>5.6</v>
      </c>
      <c r="F471" s="19">
        <v>6</v>
      </c>
      <c r="G471" s="19">
        <v>6</v>
      </c>
      <c r="H471" s="19">
        <v>5</v>
      </c>
      <c r="I471" s="19">
        <v>3</v>
      </c>
      <c r="J471" s="19" t="s">
        <v>22</v>
      </c>
      <c r="K471" s="19">
        <v>8</v>
      </c>
      <c r="L471" s="20"/>
    </row>
    <row r="472" spans="1:12">
      <c r="A472" s="15" t="s">
        <v>491</v>
      </c>
      <c r="B472" s="16">
        <v>21</v>
      </c>
      <c r="C472" s="16" t="str">
        <f t="shared" si="7"/>
        <v>21–25</v>
      </c>
      <c r="D472" s="16" t="s">
        <v>13</v>
      </c>
      <c r="E472" s="16">
        <v>4.4000000000000004</v>
      </c>
      <c r="F472" s="16">
        <v>5</v>
      </c>
      <c r="G472" s="16">
        <v>6</v>
      </c>
      <c r="H472" s="16">
        <v>4</v>
      </c>
      <c r="I472" s="16">
        <v>3</v>
      </c>
      <c r="J472" s="16" t="s">
        <v>19</v>
      </c>
      <c r="K472" s="16">
        <v>7</v>
      </c>
      <c r="L472" s="21"/>
    </row>
    <row r="473" spans="1:12">
      <c r="A473" s="18" t="s">
        <v>492</v>
      </c>
      <c r="B473" s="19">
        <v>47</v>
      </c>
      <c r="C473" s="16" t="str">
        <f t="shared" si="7"/>
        <v>46+</v>
      </c>
      <c r="D473" s="19" t="s">
        <v>21</v>
      </c>
      <c r="E473" s="19">
        <v>6.8</v>
      </c>
      <c r="F473" s="19">
        <v>5</v>
      </c>
      <c r="G473" s="19">
        <v>4</v>
      </c>
      <c r="H473" s="19">
        <v>3</v>
      </c>
      <c r="I473" s="19">
        <v>1</v>
      </c>
      <c r="J473" s="19" t="s">
        <v>28</v>
      </c>
      <c r="K473" s="19">
        <v>10</v>
      </c>
      <c r="L473" s="20"/>
    </row>
    <row r="474" spans="1:12">
      <c r="A474" s="15" t="s">
        <v>493</v>
      </c>
      <c r="B474" s="16">
        <v>36</v>
      </c>
      <c r="C474" s="16" t="str">
        <f t="shared" si="7"/>
        <v>36-40</v>
      </c>
      <c r="D474" s="16" t="s">
        <v>21</v>
      </c>
      <c r="E474" s="16">
        <v>7.4</v>
      </c>
      <c r="F474" s="16">
        <v>3</v>
      </c>
      <c r="G474" s="16">
        <v>8</v>
      </c>
      <c r="H474" s="16">
        <v>5</v>
      </c>
      <c r="I474" s="16">
        <v>4</v>
      </c>
      <c r="J474" s="16" t="s">
        <v>14</v>
      </c>
      <c r="K474" s="16">
        <v>5</v>
      </c>
      <c r="L474" s="21"/>
    </row>
    <row r="475" spans="1:12">
      <c r="A475" s="18" t="s">
        <v>494</v>
      </c>
      <c r="B475" s="19">
        <v>31</v>
      </c>
      <c r="C475" s="16" t="str">
        <f t="shared" si="7"/>
        <v>31-35</v>
      </c>
      <c r="D475" s="19" t="s">
        <v>21</v>
      </c>
      <c r="E475" s="19">
        <v>5.7</v>
      </c>
      <c r="F475" s="19">
        <v>7</v>
      </c>
      <c r="G475" s="19">
        <v>5</v>
      </c>
      <c r="H475" s="19">
        <v>3</v>
      </c>
      <c r="I475" s="19">
        <v>5</v>
      </c>
      <c r="J475" s="19" t="s">
        <v>28</v>
      </c>
      <c r="K475" s="19">
        <v>10</v>
      </c>
      <c r="L475" s="20"/>
    </row>
    <row r="476" spans="1:12">
      <c r="A476" s="15" t="s">
        <v>495</v>
      </c>
      <c r="B476" s="16">
        <v>36</v>
      </c>
      <c r="C476" s="16" t="str">
        <f t="shared" si="7"/>
        <v>36-40</v>
      </c>
      <c r="D476" s="16" t="s">
        <v>21</v>
      </c>
      <c r="E476" s="16">
        <v>6.3</v>
      </c>
      <c r="F476" s="16">
        <v>7</v>
      </c>
      <c r="G476" s="16">
        <v>7</v>
      </c>
      <c r="H476" s="16">
        <v>3</v>
      </c>
      <c r="I476" s="16">
        <v>4</v>
      </c>
      <c r="J476" s="16" t="s">
        <v>22</v>
      </c>
      <c r="K476" s="16">
        <v>8</v>
      </c>
      <c r="L476" s="21"/>
    </row>
    <row r="477" spans="1:12">
      <c r="A477" s="18" t="s">
        <v>496</v>
      </c>
      <c r="B477" s="19">
        <v>26</v>
      </c>
      <c r="C477" s="16" t="str">
        <f t="shared" si="7"/>
        <v>26–30</v>
      </c>
      <c r="D477" s="19" t="s">
        <v>21</v>
      </c>
      <c r="E477" s="19">
        <v>9.3000000000000007</v>
      </c>
      <c r="F477" s="19">
        <v>3</v>
      </c>
      <c r="G477" s="19">
        <v>8</v>
      </c>
      <c r="H477" s="19">
        <v>2</v>
      </c>
      <c r="I477" s="19">
        <v>1</v>
      </c>
      <c r="J477" s="19" t="s">
        <v>14</v>
      </c>
      <c r="K477" s="19">
        <v>6</v>
      </c>
      <c r="L477" s="20"/>
    </row>
    <row r="478" spans="1:12">
      <c r="A478" s="15" t="s">
        <v>497</v>
      </c>
      <c r="B478" s="16">
        <v>34</v>
      </c>
      <c r="C478" s="16" t="str">
        <f t="shared" si="7"/>
        <v>31-35</v>
      </c>
      <c r="D478" s="16" t="s">
        <v>13</v>
      </c>
      <c r="E478" s="16">
        <v>3.4</v>
      </c>
      <c r="F478" s="16">
        <v>8</v>
      </c>
      <c r="G478" s="16">
        <v>5</v>
      </c>
      <c r="H478" s="16">
        <v>4</v>
      </c>
      <c r="I478" s="16">
        <v>0</v>
      </c>
      <c r="J478" s="16" t="s">
        <v>24</v>
      </c>
      <c r="K478" s="16">
        <v>10</v>
      </c>
      <c r="L478" s="21"/>
    </row>
    <row r="479" spans="1:12">
      <c r="A479" s="18" t="s">
        <v>498</v>
      </c>
      <c r="B479" s="19">
        <v>35</v>
      </c>
      <c r="C479" s="16" t="str">
        <f t="shared" si="7"/>
        <v>31-35</v>
      </c>
      <c r="D479" s="19" t="s">
        <v>13</v>
      </c>
      <c r="E479" s="19">
        <v>3.3</v>
      </c>
      <c r="F479" s="19">
        <v>9</v>
      </c>
      <c r="G479" s="19">
        <v>6</v>
      </c>
      <c r="H479" s="19">
        <v>4</v>
      </c>
      <c r="I479" s="19">
        <v>4</v>
      </c>
      <c r="J479" s="19" t="s">
        <v>19</v>
      </c>
      <c r="K479" s="19">
        <v>10</v>
      </c>
      <c r="L479" s="20"/>
    </row>
    <row r="480" spans="1:12">
      <c r="A480" s="15" t="s">
        <v>499</v>
      </c>
      <c r="B480" s="16">
        <v>33</v>
      </c>
      <c r="C480" s="16" t="str">
        <f t="shared" si="7"/>
        <v>31-35</v>
      </c>
      <c r="D480" s="16" t="s">
        <v>13</v>
      </c>
      <c r="E480" s="16">
        <v>6.8</v>
      </c>
      <c r="F480" s="16">
        <v>6</v>
      </c>
      <c r="G480" s="16">
        <v>8</v>
      </c>
      <c r="H480" s="16">
        <v>2</v>
      </c>
      <c r="I480" s="16">
        <v>1</v>
      </c>
      <c r="J480" s="16" t="s">
        <v>22</v>
      </c>
      <c r="K480" s="16">
        <v>9</v>
      </c>
      <c r="L480" s="21"/>
    </row>
    <row r="481" spans="1:12">
      <c r="A481" s="18" t="s">
        <v>500</v>
      </c>
      <c r="B481" s="19">
        <v>29</v>
      </c>
      <c r="C481" s="16" t="str">
        <f t="shared" si="7"/>
        <v>26–30</v>
      </c>
      <c r="D481" s="19" t="s">
        <v>21</v>
      </c>
      <c r="E481" s="19">
        <v>9</v>
      </c>
      <c r="F481" s="19">
        <v>4</v>
      </c>
      <c r="G481" s="19">
        <v>10</v>
      </c>
      <c r="H481" s="19">
        <v>3</v>
      </c>
      <c r="I481" s="19">
        <v>3</v>
      </c>
      <c r="J481" s="19" t="s">
        <v>22</v>
      </c>
      <c r="K481" s="19">
        <v>4</v>
      </c>
      <c r="L481" s="20"/>
    </row>
    <row r="482" spans="1:12">
      <c r="A482" s="15" t="s">
        <v>501</v>
      </c>
      <c r="B482" s="16">
        <v>30</v>
      </c>
      <c r="C482" s="16" t="str">
        <f t="shared" si="7"/>
        <v>26–30</v>
      </c>
      <c r="D482" s="16" t="s">
        <v>13</v>
      </c>
      <c r="E482" s="16">
        <v>5</v>
      </c>
      <c r="F482" s="16">
        <v>7</v>
      </c>
      <c r="G482" s="16">
        <v>8</v>
      </c>
      <c r="H482" s="16">
        <v>2</v>
      </c>
      <c r="I482" s="16">
        <v>5</v>
      </c>
      <c r="J482" s="16" t="s">
        <v>19</v>
      </c>
      <c r="K482" s="16">
        <v>7</v>
      </c>
      <c r="L482" s="21"/>
    </row>
    <row r="483" spans="1:12">
      <c r="A483" s="18" t="s">
        <v>502</v>
      </c>
      <c r="B483" s="19">
        <v>46</v>
      </c>
      <c r="C483" s="16" t="str">
        <f t="shared" si="7"/>
        <v>46+</v>
      </c>
      <c r="D483" s="19" t="s">
        <v>21</v>
      </c>
      <c r="E483" s="19">
        <v>8.6</v>
      </c>
      <c r="F483" s="19">
        <v>4</v>
      </c>
      <c r="G483" s="19">
        <v>8</v>
      </c>
      <c r="H483" s="19">
        <v>2</v>
      </c>
      <c r="I483" s="19">
        <v>2</v>
      </c>
      <c r="J483" s="19" t="s">
        <v>19</v>
      </c>
      <c r="K483" s="19">
        <v>4</v>
      </c>
      <c r="L483" s="20"/>
    </row>
    <row r="484" spans="1:12">
      <c r="A484" s="15" t="s">
        <v>503</v>
      </c>
      <c r="B484" s="16">
        <v>16</v>
      </c>
      <c r="C484" s="16" t="str">
        <f t="shared" si="7"/>
        <v>16–20</v>
      </c>
      <c r="D484" s="16" t="s">
        <v>21</v>
      </c>
      <c r="E484" s="16">
        <v>5.7</v>
      </c>
      <c r="F484" s="16">
        <v>6</v>
      </c>
      <c r="G484" s="16">
        <v>6</v>
      </c>
      <c r="H484" s="16">
        <v>0</v>
      </c>
      <c r="I484" s="16">
        <v>2</v>
      </c>
      <c r="J484" s="16" t="s">
        <v>24</v>
      </c>
      <c r="K484" s="16">
        <v>8</v>
      </c>
      <c r="L484" s="21"/>
    </row>
    <row r="485" spans="1:12">
      <c r="A485" s="18" t="s">
        <v>504</v>
      </c>
      <c r="B485" s="19">
        <v>18</v>
      </c>
      <c r="C485" s="16" t="str">
        <f t="shared" si="7"/>
        <v>16–20</v>
      </c>
      <c r="D485" s="19" t="s">
        <v>13</v>
      </c>
      <c r="E485" s="19">
        <v>4.3</v>
      </c>
      <c r="F485" s="19">
        <v>7</v>
      </c>
      <c r="G485" s="19">
        <v>7</v>
      </c>
      <c r="H485" s="19">
        <v>3</v>
      </c>
      <c r="I485" s="19">
        <v>3</v>
      </c>
      <c r="J485" s="19" t="s">
        <v>22</v>
      </c>
      <c r="K485" s="19">
        <v>10</v>
      </c>
      <c r="L485" s="20"/>
    </row>
    <row r="486" spans="1:12">
      <c r="A486" s="15" t="s">
        <v>505</v>
      </c>
      <c r="B486" s="16">
        <v>31</v>
      </c>
      <c r="C486" s="16" t="str">
        <f t="shared" si="7"/>
        <v>31-35</v>
      </c>
      <c r="D486" s="16" t="s">
        <v>21</v>
      </c>
      <c r="E486" s="16">
        <v>3.7</v>
      </c>
      <c r="F486" s="16">
        <v>7</v>
      </c>
      <c r="G486" s="16">
        <v>7</v>
      </c>
      <c r="H486" s="16">
        <v>0</v>
      </c>
      <c r="I486" s="16">
        <v>1</v>
      </c>
      <c r="J486" s="16" t="s">
        <v>17</v>
      </c>
      <c r="K486" s="16">
        <v>9</v>
      </c>
      <c r="L486" s="21"/>
    </row>
    <row r="487" spans="1:12">
      <c r="A487" s="18" t="s">
        <v>506</v>
      </c>
      <c r="B487" s="19">
        <v>38</v>
      </c>
      <c r="C487" s="16" t="str">
        <f t="shared" si="7"/>
        <v>36-40</v>
      </c>
      <c r="D487" s="19" t="s">
        <v>13</v>
      </c>
      <c r="E487" s="19">
        <v>6.6</v>
      </c>
      <c r="F487" s="19">
        <v>6</v>
      </c>
      <c r="G487" s="19">
        <v>8</v>
      </c>
      <c r="H487" s="19">
        <v>2</v>
      </c>
      <c r="I487" s="19">
        <v>1</v>
      </c>
      <c r="J487" s="19" t="s">
        <v>22</v>
      </c>
      <c r="K487" s="19">
        <v>7</v>
      </c>
      <c r="L487" s="20"/>
    </row>
    <row r="488" spans="1:12">
      <c r="A488" s="15" t="s">
        <v>507</v>
      </c>
      <c r="B488" s="16">
        <v>26</v>
      </c>
      <c r="C488" s="16" t="str">
        <f t="shared" si="7"/>
        <v>26–30</v>
      </c>
      <c r="D488" s="16" t="s">
        <v>13</v>
      </c>
      <c r="E488" s="16">
        <v>3.9</v>
      </c>
      <c r="F488" s="16">
        <v>8</v>
      </c>
      <c r="G488" s="16">
        <v>5</v>
      </c>
      <c r="H488" s="16">
        <v>2</v>
      </c>
      <c r="I488" s="16">
        <v>3</v>
      </c>
      <c r="J488" s="16" t="s">
        <v>28</v>
      </c>
      <c r="K488" s="16">
        <v>10</v>
      </c>
      <c r="L488" s="21"/>
    </row>
    <row r="489" spans="1:12">
      <c r="A489" s="18" t="s">
        <v>508</v>
      </c>
      <c r="B489" s="19">
        <v>27</v>
      </c>
      <c r="C489" s="16" t="str">
        <f t="shared" si="7"/>
        <v>26–30</v>
      </c>
      <c r="D489" s="19" t="s">
        <v>21</v>
      </c>
      <c r="E489" s="19">
        <v>5.6</v>
      </c>
      <c r="F489" s="19">
        <v>7</v>
      </c>
      <c r="G489" s="19">
        <v>7</v>
      </c>
      <c r="H489" s="19">
        <v>5</v>
      </c>
      <c r="I489" s="19">
        <v>2</v>
      </c>
      <c r="J489" s="19" t="s">
        <v>14</v>
      </c>
      <c r="K489" s="19">
        <v>8</v>
      </c>
      <c r="L489" s="20"/>
    </row>
    <row r="490" spans="1:12">
      <c r="A490" s="15" t="s">
        <v>509</v>
      </c>
      <c r="B490" s="16">
        <v>25</v>
      </c>
      <c r="C490" s="16" t="str">
        <f t="shared" si="7"/>
        <v>21–25</v>
      </c>
      <c r="D490" s="16" t="s">
        <v>21</v>
      </c>
      <c r="E490" s="16">
        <v>8.4</v>
      </c>
      <c r="F490" s="16">
        <v>5</v>
      </c>
      <c r="G490" s="16">
        <v>9</v>
      </c>
      <c r="H490" s="16">
        <v>1</v>
      </c>
      <c r="I490" s="16">
        <v>3</v>
      </c>
      <c r="J490" s="16" t="s">
        <v>14</v>
      </c>
      <c r="K490" s="16">
        <v>7</v>
      </c>
      <c r="L490" s="21"/>
    </row>
    <row r="491" spans="1:12">
      <c r="A491" s="18" t="s">
        <v>510</v>
      </c>
      <c r="B491" s="19">
        <v>47</v>
      </c>
      <c r="C491" s="16" t="str">
        <f t="shared" si="7"/>
        <v>46+</v>
      </c>
      <c r="D491" s="19" t="s">
        <v>21</v>
      </c>
      <c r="E491" s="19">
        <v>4.9000000000000004</v>
      </c>
      <c r="F491" s="19">
        <v>7</v>
      </c>
      <c r="G491" s="19">
        <v>7</v>
      </c>
      <c r="H491" s="19">
        <v>1</v>
      </c>
      <c r="I491" s="19">
        <v>7</v>
      </c>
      <c r="J491" s="19" t="s">
        <v>28</v>
      </c>
      <c r="K491" s="19">
        <v>10</v>
      </c>
      <c r="L491" s="20"/>
    </row>
    <row r="492" spans="1:12">
      <c r="A492" s="15" t="s">
        <v>511</v>
      </c>
      <c r="B492" s="16">
        <v>31</v>
      </c>
      <c r="C492" s="16" t="str">
        <f t="shared" si="7"/>
        <v>31-35</v>
      </c>
      <c r="D492" s="16" t="s">
        <v>13</v>
      </c>
      <c r="E492" s="16">
        <v>7.9</v>
      </c>
      <c r="F492" s="16">
        <v>5</v>
      </c>
      <c r="G492" s="16">
        <v>8</v>
      </c>
      <c r="H492" s="16">
        <v>2</v>
      </c>
      <c r="I492" s="16">
        <v>3</v>
      </c>
      <c r="J492" s="16" t="s">
        <v>14</v>
      </c>
      <c r="K492" s="16">
        <v>6</v>
      </c>
      <c r="L492" s="21"/>
    </row>
    <row r="493" spans="1:12">
      <c r="A493" s="18" t="s">
        <v>512</v>
      </c>
      <c r="B493" s="19">
        <v>23</v>
      </c>
      <c r="C493" s="16" t="str">
        <f t="shared" si="7"/>
        <v>21–25</v>
      </c>
      <c r="D493" s="19" t="s">
        <v>13</v>
      </c>
      <c r="E493" s="19">
        <v>3.3</v>
      </c>
      <c r="F493" s="19">
        <v>10</v>
      </c>
      <c r="G493" s="19">
        <v>4</v>
      </c>
      <c r="H493" s="19">
        <v>2</v>
      </c>
      <c r="I493" s="19">
        <v>1</v>
      </c>
      <c r="J493" s="19" t="s">
        <v>19</v>
      </c>
      <c r="K493" s="19">
        <v>10</v>
      </c>
      <c r="L493" s="20"/>
    </row>
    <row r="494" spans="1:12">
      <c r="A494" s="15" t="s">
        <v>513</v>
      </c>
      <c r="B494" s="16">
        <v>27</v>
      </c>
      <c r="C494" s="16" t="str">
        <f t="shared" si="7"/>
        <v>26–30</v>
      </c>
      <c r="D494" s="16" t="s">
        <v>21</v>
      </c>
      <c r="E494" s="16">
        <v>4.5</v>
      </c>
      <c r="F494" s="16">
        <v>5</v>
      </c>
      <c r="G494" s="16">
        <v>7</v>
      </c>
      <c r="H494" s="16">
        <v>6</v>
      </c>
      <c r="I494" s="16">
        <v>5</v>
      </c>
      <c r="J494" s="16" t="s">
        <v>14</v>
      </c>
      <c r="K494" s="16">
        <v>9</v>
      </c>
      <c r="L494" s="21"/>
    </row>
    <row r="495" spans="1:12">
      <c r="A495" s="18" t="s">
        <v>514</v>
      </c>
      <c r="B495" s="19">
        <v>39</v>
      </c>
      <c r="C495" s="16" t="str">
        <f t="shared" si="7"/>
        <v>36-40</v>
      </c>
      <c r="D495" s="19" t="s">
        <v>21</v>
      </c>
      <c r="E495" s="19">
        <v>3</v>
      </c>
      <c r="F495" s="19">
        <v>7</v>
      </c>
      <c r="G495" s="19">
        <v>2</v>
      </c>
      <c r="H495" s="19">
        <v>1</v>
      </c>
      <c r="I495" s="19">
        <v>0</v>
      </c>
      <c r="J495" s="19" t="s">
        <v>14</v>
      </c>
      <c r="K495" s="19">
        <v>10</v>
      </c>
      <c r="L495" s="20"/>
    </row>
    <row r="496" spans="1:12">
      <c r="A496" s="15" t="s">
        <v>515</v>
      </c>
      <c r="B496" s="16">
        <v>43</v>
      </c>
      <c r="C496" s="16" t="str">
        <f t="shared" si="7"/>
        <v>41-45</v>
      </c>
      <c r="D496" s="16" t="s">
        <v>21</v>
      </c>
      <c r="E496" s="16">
        <v>5.6</v>
      </c>
      <c r="F496" s="16">
        <v>8</v>
      </c>
      <c r="G496" s="16">
        <v>6</v>
      </c>
      <c r="H496" s="16">
        <v>2</v>
      </c>
      <c r="I496" s="16">
        <v>0</v>
      </c>
      <c r="J496" s="16" t="s">
        <v>28</v>
      </c>
      <c r="K496" s="16">
        <v>10</v>
      </c>
      <c r="L496" s="21"/>
    </row>
    <row r="497" spans="1:12">
      <c r="A497" s="18" t="s">
        <v>516</v>
      </c>
      <c r="B497" s="19">
        <v>23</v>
      </c>
      <c r="C497" s="16" t="str">
        <f t="shared" si="7"/>
        <v>21–25</v>
      </c>
      <c r="D497" s="19" t="s">
        <v>13</v>
      </c>
      <c r="E497" s="19">
        <v>6.9</v>
      </c>
      <c r="F497" s="19">
        <v>5</v>
      </c>
      <c r="G497" s="19">
        <v>7</v>
      </c>
      <c r="H497" s="19">
        <v>4</v>
      </c>
      <c r="I497" s="19">
        <v>2</v>
      </c>
      <c r="J497" s="19" t="s">
        <v>24</v>
      </c>
      <c r="K497" s="19">
        <v>10</v>
      </c>
      <c r="L497" s="20"/>
    </row>
    <row r="498" spans="1:12">
      <c r="A498" s="15" t="s">
        <v>517</v>
      </c>
      <c r="B498" s="16">
        <v>43</v>
      </c>
      <c r="C498" s="16" t="str">
        <f t="shared" si="7"/>
        <v>41-45</v>
      </c>
      <c r="D498" s="16" t="s">
        <v>21</v>
      </c>
      <c r="E498" s="16">
        <v>5.6</v>
      </c>
      <c r="F498" s="16">
        <v>7</v>
      </c>
      <c r="G498" s="16">
        <v>6</v>
      </c>
      <c r="H498" s="16">
        <v>5</v>
      </c>
      <c r="I498" s="16">
        <v>2</v>
      </c>
      <c r="J498" s="16" t="s">
        <v>14</v>
      </c>
      <c r="K498" s="16">
        <v>9</v>
      </c>
      <c r="L498" s="21"/>
    </row>
    <row r="499" spans="1:12">
      <c r="A499" s="18" t="s">
        <v>518</v>
      </c>
      <c r="B499" s="19">
        <v>41</v>
      </c>
      <c r="C499" s="16" t="str">
        <f t="shared" si="7"/>
        <v>41-45</v>
      </c>
      <c r="D499" s="19" t="s">
        <v>13</v>
      </c>
      <c r="E499" s="19">
        <v>7.7</v>
      </c>
      <c r="F499" s="19">
        <v>5</v>
      </c>
      <c r="G499" s="19">
        <v>7</v>
      </c>
      <c r="H499" s="19">
        <v>2</v>
      </c>
      <c r="I499" s="19">
        <v>2</v>
      </c>
      <c r="J499" s="19" t="s">
        <v>17</v>
      </c>
      <c r="K499" s="19">
        <v>8</v>
      </c>
      <c r="L499" s="20"/>
    </row>
    <row r="500" spans="1:12">
      <c r="A500" s="15" t="s">
        <v>519</v>
      </c>
      <c r="B500" s="16">
        <v>23</v>
      </c>
      <c r="C500" s="16" t="str">
        <f t="shared" si="7"/>
        <v>21–25</v>
      </c>
      <c r="D500" s="16" t="s">
        <v>13</v>
      </c>
      <c r="E500" s="16">
        <v>4.2</v>
      </c>
      <c r="F500" s="16">
        <v>9</v>
      </c>
      <c r="G500" s="16">
        <v>7</v>
      </c>
      <c r="H500" s="16">
        <v>0</v>
      </c>
      <c r="I500" s="16">
        <v>2</v>
      </c>
      <c r="J500" s="16" t="s">
        <v>14</v>
      </c>
      <c r="K500" s="16">
        <v>9</v>
      </c>
      <c r="L500" s="21"/>
    </row>
    <row r="501" spans="1:12">
      <c r="A501" s="9" t="s">
        <v>520</v>
      </c>
      <c r="B501" s="10">
        <v>43</v>
      </c>
      <c r="C501" s="16" t="str">
        <f t="shared" si="7"/>
        <v>41-45</v>
      </c>
      <c r="D501" s="10" t="s">
        <v>21</v>
      </c>
      <c r="E501" s="10">
        <v>5.9</v>
      </c>
      <c r="F501" s="10">
        <v>5</v>
      </c>
      <c r="G501" s="10">
        <v>8</v>
      </c>
      <c r="H501" s="10">
        <v>3</v>
      </c>
      <c r="I501" s="10">
        <v>3</v>
      </c>
      <c r="J501" s="10" t="s">
        <v>24</v>
      </c>
      <c r="K501" s="10">
        <v>7</v>
      </c>
      <c r="L501" s="11"/>
    </row>
  </sheetData>
  <conditionalFormatting sqref="A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A6D6-D3FE-48F5-A4BF-E7D4F9BC9B46}">
  <dimension ref="A1:D9"/>
  <sheetViews>
    <sheetView workbookViewId="0"/>
  </sheetViews>
  <sheetFormatPr defaultRowHeight="14.5"/>
  <cols>
    <col min="1" max="1" width="12.453125" bestFit="1" customWidth="1"/>
    <col min="2" max="2" width="23.7265625" bestFit="1" customWidth="1"/>
    <col min="3" max="3" width="26.6328125" bestFit="1" customWidth="1"/>
    <col min="4" max="4" width="22.54296875" bestFit="1" customWidth="1"/>
    <col min="5" max="5" width="12.453125" bestFit="1" customWidth="1"/>
    <col min="6" max="6" width="23.81640625" bestFit="1" customWidth="1"/>
    <col min="7" max="7" width="25" bestFit="1" customWidth="1"/>
    <col min="8" max="8" width="27.90625" bestFit="1" customWidth="1"/>
  </cols>
  <sheetData>
    <row r="1" spans="1:4">
      <c r="A1" s="1" t="s">
        <v>527</v>
      </c>
      <c r="B1" t="s">
        <v>553</v>
      </c>
      <c r="C1" t="s">
        <v>541</v>
      </c>
      <c r="D1" t="s">
        <v>554</v>
      </c>
    </row>
    <row r="2" spans="1:4">
      <c r="A2" s="2" t="s">
        <v>547</v>
      </c>
      <c r="B2">
        <v>488</v>
      </c>
      <c r="C2">
        <v>633</v>
      </c>
      <c r="D2">
        <v>484</v>
      </c>
    </row>
    <row r="3" spans="1:4">
      <c r="A3" s="2" t="s">
        <v>548</v>
      </c>
      <c r="B3">
        <v>420</v>
      </c>
      <c r="C3">
        <v>540</v>
      </c>
      <c r="D3">
        <v>430</v>
      </c>
    </row>
    <row r="4" spans="1:4">
      <c r="A4" s="2" t="s">
        <v>549</v>
      </c>
      <c r="B4">
        <v>397</v>
      </c>
      <c r="C4">
        <v>532</v>
      </c>
      <c r="D4">
        <v>438</v>
      </c>
    </row>
    <row r="5" spans="1:4">
      <c r="A5" s="2" t="s">
        <v>550</v>
      </c>
      <c r="B5">
        <v>423</v>
      </c>
      <c r="C5">
        <v>570</v>
      </c>
      <c r="D5">
        <v>470</v>
      </c>
    </row>
    <row r="6" spans="1:4">
      <c r="A6" s="2" t="s">
        <v>551</v>
      </c>
      <c r="B6">
        <v>520</v>
      </c>
      <c r="C6">
        <v>703</v>
      </c>
      <c r="D6">
        <v>548</v>
      </c>
    </row>
    <row r="7" spans="1:4">
      <c r="A7" s="2" t="s">
        <v>552</v>
      </c>
      <c r="B7">
        <v>534</v>
      </c>
      <c r="C7">
        <v>694</v>
      </c>
      <c r="D7">
        <v>525</v>
      </c>
    </row>
    <row r="8" spans="1:4">
      <c r="A8" s="2" t="s">
        <v>544</v>
      </c>
      <c r="B8">
        <v>370</v>
      </c>
      <c r="C8">
        <v>516</v>
      </c>
      <c r="D8">
        <v>414</v>
      </c>
    </row>
    <row r="9" spans="1:4">
      <c r="A9" s="2" t="s">
        <v>530</v>
      </c>
      <c r="B9">
        <v>3152</v>
      </c>
      <c r="C9">
        <v>4188</v>
      </c>
      <c r="D9">
        <v>3309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CC80-A585-41A9-AE0F-E4ACD6E8BF6C}">
  <dimension ref="A1:D45"/>
  <sheetViews>
    <sheetView topLeftCell="A10" workbookViewId="0">
      <selection activeCell="A10" sqref="A10"/>
    </sheetView>
  </sheetViews>
  <sheetFormatPr defaultRowHeight="14.5"/>
  <cols>
    <col min="1" max="1" width="12.453125" bestFit="1" customWidth="1"/>
    <col min="2" max="2" width="23.7265625" bestFit="1" customWidth="1"/>
    <col min="3" max="3" width="26.6328125" bestFit="1" customWidth="1"/>
    <col min="4" max="4" width="22.54296875" bestFit="1" customWidth="1"/>
    <col min="5" max="9" width="1.81640625" bestFit="1" customWidth="1"/>
    <col min="10" max="10" width="2.81640625" bestFit="1" customWidth="1"/>
    <col min="11" max="12" width="10.453125" bestFit="1" customWidth="1"/>
    <col min="17" max="17" width="10" bestFit="1" customWidth="1"/>
  </cols>
  <sheetData>
    <row r="1" spans="1:4">
      <c r="A1" s="1" t="s">
        <v>521</v>
      </c>
    </row>
    <row r="2" spans="1:4">
      <c r="A2" s="2" t="s">
        <v>522</v>
      </c>
      <c r="B2">
        <v>6.3040000000000003</v>
      </c>
    </row>
    <row r="3" spans="1:4">
      <c r="A3" s="2" t="s">
        <v>523</v>
      </c>
      <c r="B3">
        <v>5.5299999999999985</v>
      </c>
    </row>
    <row r="4" spans="1:4">
      <c r="A4" s="2" t="s">
        <v>524</v>
      </c>
      <c r="B4">
        <v>8.3759999999999994</v>
      </c>
    </row>
    <row r="5" spans="1:4">
      <c r="A5" s="2" t="s">
        <v>525</v>
      </c>
      <c r="B5">
        <v>6.6180000000000003</v>
      </c>
    </row>
    <row r="7" spans="1:4">
      <c r="A7" s="2" t="s">
        <v>526</v>
      </c>
      <c r="B7">
        <f>AVERAGE(GETPIVOTDATA("Average of Daily_Screen_Time(hrs)",$A$1),GETPIVOTDATA("Average of Happiness_Index(1-10)",$A$1))</f>
        <v>6.9529999999999994</v>
      </c>
    </row>
    <row r="10" spans="1:4">
      <c r="A10" s="1" t="s">
        <v>527</v>
      </c>
      <c r="B10" t="s">
        <v>546</v>
      </c>
      <c r="C10" t="s">
        <v>531</v>
      </c>
      <c r="D10" t="s">
        <v>545</v>
      </c>
    </row>
    <row r="11" spans="1:4">
      <c r="A11" s="2">
        <v>16</v>
      </c>
      <c r="B11">
        <v>119</v>
      </c>
      <c r="C11">
        <v>152</v>
      </c>
      <c r="D11">
        <v>104</v>
      </c>
    </row>
    <row r="12" spans="1:4">
      <c r="A12" s="2">
        <v>17</v>
      </c>
      <c r="B12">
        <v>110</v>
      </c>
      <c r="C12">
        <v>136</v>
      </c>
      <c r="D12">
        <v>118</v>
      </c>
    </row>
    <row r="13" spans="1:4">
      <c r="A13" s="2">
        <v>18</v>
      </c>
      <c r="B13">
        <v>105</v>
      </c>
      <c r="C13">
        <v>136</v>
      </c>
      <c r="D13">
        <v>101</v>
      </c>
    </row>
    <row r="14" spans="1:4">
      <c r="A14" s="2">
        <v>19</v>
      </c>
      <c r="B14">
        <v>67</v>
      </c>
      <c r="C14">
        <v>99</v>
      </c>
      <c r="D14">
        <v>70</v>
      </c>
    </row>
    <row r="15" spans="1:4">
      <c r="A15" s="2">
        <v>20</v>
      </c>
      <c r="B15">
        <v>87</v>
      </c>
      <c r="C15">
        <v>110</v>
      </c>
      <c r="D15">
        <v>91</v>
      </c>
    </row>
    <row r="16" spans="1:4">
      <c r="A16" s="2">
        <v>21</v>
      </c>
      <c r="B16">
        <v>75</v>
      </c>
      <c r="C16">
        <v>97</v>
      </c>
      <c r="D16">
        <v>63</v>
      </c>
    </row>
    <row r="17" spans="1:4">
      <c r="A17" s="2">
        <v>22</v>
      </c>
      <c r="B17">
        <v>74</v>
      </c>
      <c r="C17">
        <v>103</v>
      </c>
      <c r="D17">
        <v>96</v>
      </c>
    </row>
    <row r="18" spans="1:4">
      <c r="A18" s="2">
        <v>23</v>
      </c>
      <c r="B18">
        <v>128</v>
      </c>
      <c r="C18">
        <v>157</v>
      </c>
      <c r="D18">
        <v>109</v>
      </c>
    </row>
    <row r="19" spans="1:4">
      <c r="A19" s="2">
        <v>24</v>
      </c>
      <c r="B19">
        <v>90</v>
      </c>
      <c r="C19">
        <v>110</v>
      </c>
      <c r="D19">
        <v>97</v>
      </c>
    </row>
    <row r="20" spans="1:4">
      <c r="A20" s="2">
        <v>25</v>
      </c>
      <c r="B20">
        <v>53</v>
      </c>
      <c r="C20">
        <v>73</v>
      </c>
      <c r="D20">
        <v>65</v>
      </c>
    </row>
    <row r="21" spans="1:4">
      <c r="A21" s="2">
        <v>26</v>
      </c>
      <c r="B21">
        <v>69</v>
      </c>
      <c r="C21">
        <v>97</v>
      </c>
      <c r="D21">
        <v>80</v>
      </c>
    </row>
    <row r="22" spans="1:4">
      <c r="A22" s="2">
        <v>27</v>
      </c>
      <c r="B22">
        <v>113</v>
      </c>
      <c r="C22">
        <v>154</v>
      </c>
      <c r="D22">
        <v>135</v>
      </c>
    </row>
    <row r="23" spans="1:4">
      <c r="A23" s="2">
        <v>28</v>
      </c>
      <c r="B23">
        <v>68</v>
      </c>
      <c r="C23">
        <v>87</v>
      </c>
      <c r="D23">
        <v>69</v>
      </c>
    </row>
    <row r="24" spans="1:4">
      <c r="A24" s="2">
        <v>29</v>
      </c>
      <c r="B24">
        <v>78</v>
      </c>
      <c r="C24">
        <v>104</v>
      </c>
      <c r="D24">
        <v>73</v>
      </c>
    </row>
    <row r="25" spans="1:4">
      <c r="A25" s="2">
        <v>30</v>
      </c>
      <c r="B25">
        <v>69</v>
      </c>
      <c r="C25">
        <v>90</v>
      </c>
      <c r="D25">
        <v>81</v>
      </c>
    </row>
    <row r="26" spans="1:4">
      <c r="A26" s="2">
        <v>31</v>
      </c>
      <c r="B26">
        <v>122</v>
      </c>
      <c r="C26">
        <v>159</v>
      </c>
      <c r="D26">
        <v>129</v>
      </c>
    </row>
    <row r="27" spans="1:4">
      <c r="A27" s="2">
        <v>32</v>
      </c>
      <c r="B27">
        <v>69</v>
      </c>
      <c r="C27">
        <v>93</v>
      </c>
      <c r="D27">
        <v>83</v>
      </c>
    </row>
    <row r="28" spans="1:4">
      <c r="A28" s="2">
        <v>33</v>
      </c>
      <c r="B28">
        <v>57</v>
      </c>
      <c r="C28">
        <v>77</v>
      </c>
      <c r="D28">
        <v>74</v>
      </c>
    </row>
    <row r="29" spans="1:4">
      <c r="A29" s="2">
        <v>34</v>
      </c>
      <c r="B29">
        <v>103</v>
      </c>
      <c r="C29">
        <v>143</v>
      </c>
      <c r="D29">
        <v>95</v>
      </c>
    </row>
    <row r="30" spans="1:4">
      <c r="A30" s="2">
        <v>35</v>
      </c>
      <c r="B30">
        <v>72</v>
      </c>
      <c r="C30">
        <v>98</v>
      </c>
      <c r="D30">
        <v>89</v>
      </c>
    </row>
    <row r="31" spans="1:4">
      <c r="A31" s="2">
        <v>36</v>
      </c>
      <c r="B31">
        <v>76</v>
      </c>
      <c r="C31">
        <v>99</v>
      </c>
      <c r="D31">
        <v>82</v>
      </c>
    </row>
    <row r="32" spans="1:4">
      <c r="A32" s="2">
        <v>37</v>
      </c>
      <c r="B32">
        <v>107</v>
      </c>
      <c r="C32">
        <v>139</v>
      </c>
      <c r="D32">
        <v>94</v>
      </c>
    </row>
    <row r="33" spans="1:4">
      <c r="A33" s="2">
        <v>38</v>
      </c>
      <c r="B33">
        <v>115</v>
      </c>
      <c r="C33">
        <v>153</v>
      </c>
      <c r="D33">
        <v>118</v>
      </c>
    </row>
    <row r="34" spans="1:4">
      <c r="A34" s="2">
        <v>39</v>
      </c>
      <c r="B34">
        <v>123</v>
      </c>
      <c r="C34">
        <v>168</v>
      </c>
      <c r="D34">
        <v>125</v>
      </c>
    </row>
    <row r="35" spans="1:4">
      <c r="A35" s="2">
        <v>40</v>
      </c>
      <c r="B35">
        <v>99</v>
      </c>
      <c r="C35">
        <v>144</v>
      </c>
      <c r="D35">
        <v>129</v>
      </c>
    </row>
    <row r="36" spans="1:4">
      <c r="A36" s="2">
        <v>41</v>
      </c>
      <c r="B36">
        <v>131</v>
      </c>
      <c r="C36">
        <v>172</v>
      </c>
      <c r="D36">
        <v>131</v>
      </c>
    </row>
    <row r="37" spans="1:4">
      <c r="A37" s="2">
        <v>42</v>
      </c>
      <c r="B37">
        <v>61</v>
      </c>
      <c r="C37">
        <v>85</v>
      </c>
      <c r="D37">
        <v>76</v>
      </c>
    </row>
    <row r="38" spans="1:4">
      <c r="A38" s="2">
        <v>43</v>
      </c>
      <c r="B38">
        <v>151</v>
      </c>
      <c r="C38">
        <v>199</v>
      </c>
      <c r="D38">
        <v>134</v>
      </c>
    </row>
    <row r="39" spans="1:4">
      <c r="A39" s="2">
        <v>44</v>
      </c>
      <c r="B39">
        <v>108</v>
      </c>
      <c r="C39">
        <v>142</v>
      </c>
      <c r="D39">
        <v>101</v>
      </c>
    </row>
    <row r="40" spans="1:4">
      <c r="A40" s="2">
        <v>45</v>
      </c>
      <c r="B40">
        <v>83</v>
      </c>
      <c r="C40">
        <v>96</v>
      </c>
      <c r="D40">
        <v>83</v>
      </c>
    </row>
    <row r="41" spans="1:4">
      <c r="A41" s="2">
        <v>46</v>
      </c>
      <c r="B41">
        <v>62</v>
      </c>
      <c r="C41">
        <v>78</v>
      </c>
      <c r="D41">
        <v>73</v>
      </c>
    </row>
    <row r="42" spans="1:4">
      <c r="A42" s="2">
        <v>47</v>
      </c>
      <c r="B42">
        <v>132</v>
      </c>
      <c r="C42">
        <v>188</v>
      </c>
      <c r="D42">
        <v>128</v>
      </c>
    </row>
    <row r="43" spans="1:4">
      <c r="A43" s="2">
        <v>48</v>
      </c>
      <c r="B43">
        <v>129</v>
      </c>
      <c r="C43">
        <v>182</v>
      </c>
      <c r="D43">
        <v>159</v>
      </c>
    </row>
    <row r="44" spans="1:4">
      <c r="A44" s="2">
        <v>49</v>
      </c>
      <c r="B44">
        <v>47</v>
      </c>
      <c r="C44">
        <v>68</v>
      </c>
      <c r="D44">
        <v>54</v>
      </c>
    </row>
    <row r="45" spans="1:4">
      <c r="A45" s="2" t="s">
        <v>530</v>
      </c>
      <c r="B45">
        <v>3152</v>
      </c>
      <c r="C45">
        <v>4188</v>
      </c>
      <c r="D45">
        <v>3309</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F9AB8-3ED6-46B8-B8E6-E9D034F1797E}">
  <dimension ref="A3:B10"/>
  <sheetViews>
    <sheetView workbookViewId="0">
      <selection activeCell="P4" sqref="P4"/>
    </sheetView>
  </sheetViews>
  <sheetFormatPr defaultRowHeight="14.5"/>
  <cols>
    <col min="1" max="1" width="12.453125" bestFit="1" customWidth="1"/>
    <col min="2" max="2" width="26.6328125" bestFit="1" customWidth="1"/>
    <col min="3" max="7" width="1.81640625" bestFit="1" customWidth="1"/>
    <col min="8" max="8" width="2.81640625" bestFit="1" customWidth="1"/>
    <col min="9" max="9" width="10.453125" bestFit="1" customWidth="1"/>
    <col min="10" max="10" width="2.81640625" bestFit="1" customWidth="1"/>
    <col min="11" max="11" width="10.453125" bestFit="1" customWidth="1"/>
    <col min="12" max="16" width="10.81640625" bestFit="1" customWidth="1"/>
    <col min="17" max="17" width="13.7265625" bestFit="1" customWidth="1"/>
    <col min="18" max="25" width="9.81640625" bestFit="1" customWidth="1"/>
    <col min="26" max="26" width="12.54296875" bestFit="1" customWidth="1"/>
    <col min="27" max="34" width="7.81640625" bestFit="1" customWidth="1"/>
    <col min="35" max="35" width="10.54296875" bestFit="1" customWidth="1"/>
    <col min="36" max="43" width="11" bestFit="1" customWidth="1"/>
    <col min="44" max="44" width="13.81640625" bestFit="1" customWidth="1"/>
    <col min="45" max="52" width="9.81640625" bestFit="1" customWidth="1"/>
    <col min="53" max="53" width="12.54296875" bestFit="1" customWidth="1"/>
    <col min="54" max="54" width="10.453125" bestFit="1" customWidth="1"/>
  </cols>
  <sheetData>
    <row r="3" spans="1:2">
      <c r="A3" s="1" t="s">
        <v>527</v>
      </c>
      <c r="B3" t="s">
        <v>531</v>
      </c>
    </row>
    <row r="4" spans="1:2">
      <c r="A4" s="2" t="s">
        <v>28</v>
      </c>
      <c r="B4">
        <v>591</v>
      </c>
    </row>
    <row r="5" spans="1:2">
      <c r="A5" s="2" t="s">
        <v>19</v>
      </c>
      <c r="B5">
        <v>623</v>
      </c>
    </row>
    <row r="6" spans="1:2">
      <c r="A6" s="2" t="s">
        <v>14</v>
      </c>
      <c r="B6">
        <v>676</v>
      </c>
    </row>
    <row r="7" spans="1:2">
      <c r="A7" s="2" t="s">
        <v>17</v>
      </c>
      <c r="B7">
        <v>741</v>
      </c>
    </row>
    <row r="8" spans="1:2">
      <c r="A8" s="2" t="s">
        <v>24</v>
      </c>
      <c r="B8">
        <v>761</v>
      </c>
    </row>
    <row r="9" spans="1:2">
      <c r="A9" s="2" t="s">
        <v>22</v>
      </c>
      <c r="B9">
        <v>796</v>
      </c>
    </row>
    <row r="10" spans="1:2">
      <c r="A10" s="2" t="s">
        <v>530</v>
      </c>
      <c r="B10">
        <v>4188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8EC1A-7D83-4EAD-A143-86D0C8520834}">
  <dimension ref="A2:E12"/>
  <sheetViews>
    <sheetView workbookViewId="0">
      <selection activeCell="G19" sqref="G19"/>
    </sheetView>
  </sheetViews>
  <sheetFormatPr defaultRowHeight="14.5"/>
  <cols>
    <col min="1" max="1" width="25.1796875" bestFit="1" customWidth="1"/>
    <col min="2" max="2" width="17.08984375" bestFit="1" customWidth="1"/>
    <col min="3" max="3" width="18.26953125" bestFit="1" customWidth="1"/>
    <col min="4" max="4" width="25.7265625" bestFit="1" customWidth="1"/>
    <col min="5" max="5" width="24.54296875" bestFit="1" customWidth="1"/>
    <col min="6" max="6" width="25.7265625" bestFit="1" customWidth="1"/>
    <col min="7" max="7" width="24.54296875" bestFit="1" customWidth="1"/>
    <col min="8" max="8" width="25.7265625" bestFit="1" customWidth="1"/>
    <col min="9" max="9" width="24.54296875" bestFit="1" customWidth="1"/>
    <col min="10" max="10" width="25.7265625" bestFit="1" customWidth="1"/>
    <col min="11" max="11" width="24.54296875" bestFit="1" customWidth="1"/>
    <col min="12" max="12" width="25.7265625" bestFit="1" customWidth="1"/>
    <col min="13" max="13" width="24.54296875" bestFit="1" customWidth="1"/>
    <col min="14" max="14" width="25.7265625" bestFit="1" customWidth="1"/>
    <col min="15" max="15" width="24.54296875" bestFit="1" customWidth="1"/>
    <col min="16" max="16" width="25.7265625" bestFit="1" customWidth="1"/>
    <col min="17" max="17" width="24.54296875" bestFit="1" customWidth="1"/>
    <col min="18" max="18" width="25.7265625" bestFit="1" customWidth="1"/>
    <col min="19" max="19" width="29.453125" bestFit="1" customWidth="1"/>
    <col min="20" max="20" width="30.7265625" bestFit="1" customWidth="1"/>
  </cols>
  <sheetData>
    <row r="2" spans="1:5">
      <c r="A2" s="1" t="s">
        <v>532</v>
      </c>
      <c r="B2" t="s">
        <v>538</v>
      </c>
      <c r="C2" t="s">
        <v>539</v>
      </c>
    </row>
    <row r="3" spans="1:5">
      <c r="A3" s="2">
        <v>0</v>
      </c>
      <c r="B3">
        <v>324</v>
      </c>
      <c r="C3">
        <v>302</v>
      </c>
    </row>
    <row r="4" spans="1:5">
      <c r="A4" s="2">
        <v>1</v>
      </c>
      <c r="B4">
        <v>382</v>
      </c>
      <c r="C4">
        <v>363</v>
      </c>
    </row>
    <row r="5" spans="1:5">
      <c r="A5" s="2">
        <v>2</v>
      </c>
      <c r="B5">
        <v>575</v>
      </c>
      <c r="C5">
        <v>521</v>
      </c>
    </row>
    <row r="6" spans="1:5">
      <c r="A6" s="2">
        <v>3</v>
      </c>
      <c r="B6">
        <v>614</v>
      </c>
      <c r="C6">
        <v>575</v>
      </c>
    </row>
    <row r="7" spans="1:5">
      <c r="A7" s="2">
        <v>4</v>
      </c>
      <c r="B7">
        <v>555</v>
      </c>
      <c r="C7">
        <v>565</v>
      </c>
      <c r="E7" s="3" t="s">
        <v>533</v>
      </c>
    </row>
    <row r="8" spans="1:5">
      <c r="A8" s="2">
        <v>5</v>
      </c>
      <c r="B8">
        <v>511</v>
      </c>
      <c r="C8">
        <v>506</v>
      </c>
    </row>
    <row r="9" spans="1:5">
      <c r="A9" s="2">
        <v>6</v>
      </c>
      <c r="B9">
        <v>238</v>
      </c>
      <c r="C9">
        <v>232</v>
      </c>
    </row>
    <row r="10" spans="1:5">
      <c r="A10" s="2">
        <v>7</v>
      </c>
      <c r="B10">
        <v>104</v>
      </c>
      <c r="C10">
        <v>84</v>
      </c>
    </row>
    <row r="11" spans="1:5">
      <c r="A11" s="2">
        <v>9</v>
      </c>
      <c r="B11">
        <v>6</v>
      </c>
      <c r="C11">
        <v>4</v>
      </c>
    </row>
    <row r="12" spans="1:5">
      <c r="A12" s="2" t="s">
        <v>530</v>
      </c>
      <c r="B12">
        <v>3309</v>
      </c>
      <c r="C12">
        <v>3152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D64CA-06FF-4B57-BA60-A275FFC34D15}">
  <dimension ref="A2:E11"/>
  <sheetViews>
    <sheetView topLeftCell="B1" workbookViewId="0">
      <selection activeCell="I18" sqref="I18"/>
    </sheetView>
  </sheetViews>
  <sheetFormatPr defaultRowHeight="14.5"/>
  <cols>
    <col min="1" max="1" width="12.453125" bestFit="1" customWidth="1"/>
    <col min="2" max="2" width="10.7265625" bestFit="1" customWidth="1"/>
    <col min="3" max="3" width="14.81640625" bestFit="1" customWidth="1"/>
  </cols>
  <sheetData>
    <row r="2" spans="1:5">
      <c r="A2" s="1" t="s">
        <v>527</v>
      </c>
      <c r="B2" t="s">
        <v>529</v>
      </c>
      <c r="C2" t="s">
        <v>528</v>
      </c>
    </row>
    <row r="3" spans="1:5">
      <c r="A3" s="2">
        <v>0</v>
      </c>
      <c r="B3">
        <v>268</v>
      </c>
      <c r="C3">
        <v>367</v>
      </c>
    </row>
    <row r="4" spans="1:5">
      <c r="A4" s="2">
        <v>1</v>
      </c>
      <c r="B4">
        <v>605</v>
      </c>
      <c r="C4">
        <v>767</v>
      </c>
    </row>
    <row r="5" spans="1:5">
      <c r="A5" s="2">
        <v>2</v>
      </c>
      <c r="B5">
        <v>898</v>
      </c>
      <c r="C5">
        <v>1089</v>
      </c>
    </row>
    <row r="6" spans="1:5">
      <c r="A6" s="2">
        <v>3</v>
      </c>
      <c r="B6">
        <v>784</v>
      </c>
      <c r="C6">
        <v>960</v>
      </c>
      <c r="E6" s="3" t="s">
        <v>534</v>
      </c>
    </row>
    <row r="7" spans="1:5">
      <c r="A7" s="2">
        <v>4</v>
      </c>
      <c r="B7">
        <v>489</v>
      </c>
      <c r="C7">
        <v>631</v>
      </c>
    </row>
    <row r="8" spans="1:5">
      <c r="A8" s="2">
        <v>5</v>
      </c>
      <c r="B8">
        <v>231</v>
      </c>
      <c r="C8">
        <v>316</v>
      </c>
    </row>
    <row r="9" spans="1:5">
      <c r="A9" s="2">
        <v>6</v>
      </c>
      <c r="B9">
        <v>22</v>
      </c>
      <c r="C9">
        <v>38</v>
      </c>
    </row>
    <row r="10" spans="1:5">
      <c r="A10" s="2">
        <v>7</v>
      </c>
      <c r="B10">
        <v>12</v>
      </c>
      <c r="C10">
        <v>20</v>
      </c>
    </row>
    <row r="11" spans="1:5">
      <c r="A11" s="2" t="s">
        <v>530</v>
      </c>
      <c r="B11">
        <v>3309</v>
      </c>
      <c r="C11">
        <v>4188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6DB6-2406-4885-A245-68603DD23847}">
  <dimension ref="A2:E6"/>
  <sheetViews>
    <sheetView workbookViewId="0">
      <selection activeCell="D27" sqref="D27"/>
    </sheetView>
  </sheetViews>
  <sheetFormatPr defaultRowHeight="14.5"/>
  <cols>
    <col min="1" max="1" width="12.453125" bestFit="1" customWidth="1"/>
    <col min="2" max="2" width="15.81640625" bestFit="1" customWidth="1"/>
    <col min="3" max="3" width="10.7265625" bestFit="1" customWidth="1"/>
    <col min="4" max="4" width="15.26953125" bestFit="1" customWidth="1"/>
    <col min="5" max="5" width="11.453125" bestFit="1" customWidth="1"/>
  </cols>
  <sheetData>
    <row r="2" spans="1:5">
      <c r="A2" s="1" t="s">
        <v>527</v>
      </c>
      <c r="B2" t="s">
        <v>540</v>
      </c>
      <c r="C2" t="s">
        <v>529</v>
      </c>
      <c r="D2" t="s">
        <v>541</v>
      </c>
    </row>
    <row r="3" spans="1:5">
      <c r="A3" s="2" t="s">
        <v>21</v>
      </c>
      <c r="B3">
        <v>1262.3000000000002</v>
      </c>
      <c r="C3">
        <v>1512</v>
      </c>
      <c r="D3">
        <v>1916</v>
      </c>
    </row>
    <row r="4" spans="1:5">
      <c r="A4" s="2" t="s">
        <v>13</v>
      </c>
      <c r="B4">
        <v>1386.2000000000005</v>
      </c>
      <c r="C4">
        <v>1645</v>
      </c>
      <c r="D4">
        <v>2070</v>
      </c>
    </row>
    <row r="5" spans="1:5">
      <c r="A5" s="2" t="s">
        <v>16</v>
      </c>
      <c r="B5">
        <v>116.49999999999999</v>
      </c>
      <c r="C5">
        <v>152</v>
      </c>
      <c r="D5">
        <v>202</v>
      </c>
      <c r="E5" s="3" t="s">
        <v>535</v>
      </c>
    </row>
    <row r="6" spans="1:5">
      <c r="A6" s="2" t="s">
        <v>530</v>
      </c>
      <c r="B6">
        <v>2765.0000000000009</v>
      </c>
      <c r="C6">
        <v>3309</v>
      </c>
      <c r="D6">
        <v>4188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6E4DD-BF47-42F3-90D3-742CC8557934}">
  <dimension ref="A2:P7"/>
  <sheetViews>
    <sheetView workbookViewId="0">
      <selection activeCell="M16" sqref="M16"/>
    </sheetView>
  </sheetViews>
  <sheetFormatPr defaultRowHeight="14.5"/>
  <cols>
    <col min="1" max="1" width="17.08984375" bestFit="1" customWidth="1"/>
    <col min="2" max="2" width="22.36328125" bestFit="1" customWidth="1"/>
    <col min="3" max="3" width="9.1796875" bestFit="1" customWidth="1"/>
    <col min="4" max="4" width="8.08984375" bestFit="1" customWidth="1"/>
    <col min="5" max="5" width="6.1796875" bestFit="1" customWidth="1"/>
    <col min="6" max="6" width="9.26953125" bestFit="1" customWidth="1"/>
    <col min="7" max="7" width="8.08984375" bestFit="1" customWidth="1"/>
    <col min="8" max="8" width="10.36328125" bestFit="1" customWidth="1"/>
  </cols>
  <sheetData>
    <row r="2" spans="1:16">
      <c r="A2" s="1" t="s">
        <v>538</v>
      </c>
      <c r="B2" s="1" t="s">
        <v>542</v>
      </c>
    </row>
    <row r="3" spans="1:16">
      <c r="A3" s="1" t="s">
        <v>4</v>
      </c>
      <c r="B3" t="s">
        <v>14</v>
      </c>
      <c r="C3" t="s">
        <v>28</v>
      </c>
      <c r="D3" t="s">
        <v>17</v>
      </c>
      <c r="E3" t="s">
        <v>22</v>
      </c>
      <c r="F3" t="s">
        <v>24</v>
      </c>
      <c r="G3" t="s">
        <v>19</v>
      </c>
      <c r="H3" t="s">
        <v>530</v>
      </c>
    </row>
    <row r="4" spans="1:16">
      <c r="A4" s="2" t="s">
        <v>21</v>
      </c>
      <c r="B4">
        <v>305</v>
      </c>
      <c r="C4">
        <v>183</v>
      </c>
      <c r="D4">
        <v>285</v>
      </c>
      <c r="E4">
        <v>287</v>
      </c>
      <c r="F4">
        <v>237</v>
      </c>
      <c r="G4">
        <v>215</v>
      </c>
      <c r="H4">
        <v>1512</v>
      </c>
    </row>
    <row r="5" spans="1:16">
      <c r="A5" s="2" t="s">
        <v>13</v>
      </c>
      <c r="B5">
        <v>229</v>
      </c>
      <c r="C5">
        <v>309</v>
      </c>
      <c r="D5">
        <v>247</v>
      </c>
      <c r="E5">
        <v>317</v>
      </c>
      <c r="F5">
        <v>298</v>
      </c>
      <c r="G5">
        <v>245</v>
      </c>
      <c r="H5">
        <v>1645</v>
      </c>
      <c r="P5" s="4" t="s">
        <v>536</v>
      </c>
    </row>
    <row r="6" spans="1:16">
      <c r="A6" s="2" t="s">
        <v>16</v>
      </c>
      <c r="B6">
        <v>6</v>
      </c>
      <c r="C6">
        <v>23</v>
      </c>
      <c r="D6">
        <v>30</v>
      </c>
      <c r="E6">
        <v>22</v>
      </c>
      <c r="F6">
        <v>33</v>
      </c>
      <c r="G6">
        <v>38</v>
      </c>
      <c r="H6">
        <v>152</v>
      </c>
    </row>
    <row r="7" spans="1:16">
      <c r="A7" s="2" t="s">
        <v>530</v>
      </c>
      <c r="B7">
        <v>540</v>
      </c>
      <c r="C7">
        <v>515</v>
      </c>
      <c r="D7">
        <v>562</v>
      </c>
      <c r="E7">
        <v>626</v>
      </c>
      <c r="F7">
        <v>568</v>
      </c>
      <c r="G7">
        <v>498</v>
      </c>
      <c r="H7">
        <v>3309</v>
      </c>
      <c r="P7" s="4" t="s">
        <v>537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Mental_Health_and_Social_Media_</vt:lpstr>
      <vt:lpstr>Sheet7</vt:lpstr>
      <vt:lpstr>Sheet1</vt:lpstr>
      <vt:lpstr>Sheet2</vt:lpstr>
      <vt:lpstr>Sheet3</vt:lpstr>
      <vt:lpstr>Sheet4</vt:lpstr>
      <vt:lpstr>Sheet5</vt:lpstr>
      <vt:lpstr>Sheet6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Sylvia Henry</dc:creator>
  <cp:keywords/>
  <dc:description/>
  <cp:lastModifiedBy>Sylvia Henry</cp:lastModifiedBy>
  <cp:revision/>
  <dcterms:created xsi:type="dcterms:W3CDTF">2025-11-11T12:53:25Z</dcterms:created>
  <dcterms:modified xsi:type="dcterms:W3CDTF">2026-01-12T17:21:52Z</dcterms:modified>
  <cp:category/>
  <cp:contentStatus/>
</cp:coreProperties>
</file>